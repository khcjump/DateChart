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hcjump/Desktop/"/>
    </mc:Choice>
  </mc:AlternateContent>
  <xr:revisionPtr revIDLastSave="0" documentId="13_ncr:1_{5B0DE3D6-B713-CC49-B108-EBDF88B86418}" xr6:coauthVersionLast="47" xr6:coauthVersionMax="47" xr10:uidLastSave="{00000000-0000-0000-0000-000000000000}"/>
  <bookViews>
    <workbookView xWindow="0" yWindow="880" windowWidth="36000" windowHeight="22500" activeTab="1" xr2:uid="{00000000-000D-0000-FFFF-FFFF00000000}"/>
  </bookViews>
  <sheets>
    <sheet name="Readme" sheetId="14" state="hidden" r:id="rId1"/>
    <sheet name="Program" sheetId="5" r:id="rId2"/>
    <sheet name="Alert" sheetId="12" state="hidden" r:id="rId3"/>
    <sheet name="Contact" sheetId="9" state="hidden" r:id="rId4"/>
    <sheet name="Config" sheetId="11" r:id="rId5"/>
  </sheets>
  <functionGroups builtInGroupCount="19"/>
  <definedNames>
    <definedName name="_xlnm._FilterDatabase" localSheetId="1" hidden="1">Program!$I$7:$L$7</definedName>
    <definedName name="data1">Program!$B$7:$E$11</definedName>
    <definedName name="Z_6D9A68C5_8FD5_4F3E_8B6F_ABAD4F746D70_.wvu.Cols" localSheetId="1" hidden="1">Program!$CU:$DU</definedName>
    <definedName name="Z_6D9A68C5_8FD5_4F3E_8B6F_ABAD4F746D70_.wvu.FilterData" localSheetId="1" hidden="1">Program!$I$7:$L$7</definedName>
    <definedName name="Z_6D9A68C5_8FD5_4F3E_8B6F_ABAD4F746D70_.wvu.Rows" localSheetId="1" hidden="1">Program!$5:$5</definedName>
  </definedNames>
  <calcPr calcId="191029"/>
  <customWorkbookViews>
    <customWorkbookView name="DC01" guid="{6D9A68C5-8FD5-4F3E-8B6F-ABAD4F746D70}" maximized="1" windowWidth="1020" windowHeight="693" activeSheetId="5" showFormulaBar="0" showStatus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5" l="1"/>
  <c r="D24" i="5"/>
  <c r="E13" i="5"/>
  <c r="D22" i="5" s="1"/>
  <c r="M5" i="5"/>
  <c r="N5" i="5" s="1"/>
  <c r="O5" i="5" s="1"/>
  <c r="P5" i="5" s="1"/>
  <c r="I1" i="5"/>
  <c r="CV5" i="5"/>
  <c r="CV7" i="5" s="1"/>
  <c r="CV24" i="5" s="1"/>
  <c r="CU7" i="5"/>
  <c r="CU23" i="5" s="1"/>
  <c r="G1" i="12"/>
  <c r="C1" i="12"/>
  <c r="E1" i="9"/>
  <c r="C1" i="9"/>
  <c r="C1" i="5"/>
  <c r="CV9" i="5" l="1"/>
  <c r="CU9" i="5"/>
  <c r="CV26" i="5"/>
  <c r="P7" i="5"/>
  <c r="Q5" i="5"/>
  <c r="CU21" i="5"/>
  <c r="CV21" i="5"/>
  <c r="CU30" i="5"/>
  <c r="CV30" i="5"/>
  <c r="CU28" i="5"/>
  <c r="CV28" i="5"/>
  <c r="CV40" i="5"/>
  <c r="CV35" i="5"/>
  <c r="CV23" i="5"/>
  <c r="CU40" i="5"/>
  <c r="CU16" i="5"/>
  <c r="CV16" i="5"/>
  <c r="CU24" i="5"/>
  <c r="CU35" i="5"/>
  <c r="CV34" i="5"/>
  <c r="CV27" i="5"/>
  <c r="CU27" i="5"/>
  <c r="CU26" i="5"/>
  <c r="CU38" i="5"/>
  <c r="CU39" i="5"/>
  <c r="CV39" i="5"/>
  <c r="E22" i="5"/>
  <c r="E37" i="5"/>
  <c r="CU34" i="5"/>
  <c r="CU41" i="5"/>
  <c r="CV38" i="5"/>
  <c r="CV41" i="5"/>
  <c r="CV32" i="5"/>
  <c r="CU32" i="5"/>
  <c r="CV33" i="5"/>
  <c r="CU33" i="5"/>
  <c r="CV17" i="5"/>
  <c r="CU19" i="5"/>
  <c r="CU15" i="5"/>
  <c r="CU14" i="5"/>
  <c r="CU18" i="5"/>
  <c r="CV15" i="5"/>
  <c r="CU17" i="5"/>
  <c r="CV19" i="5"/>
  <c r="CV14" i="5"/>
  <c r="CU13" i="5"/>
  <c r="CV18" i="5"/>
  <c r="O7" i="5"/>
  <c r="O9" i="5" s="1"/>
  <c r="CV13" i="5"/>
  <c r="N7" i="5"/>
  <c r="N9" i="5" s="1"/>
  <c r="M7" i="5"/>
  <c r="M9" i="5" s="1"/>
  <c r="CU20" i="5"/>
  <c r="CV29" i="5"/>
  <c r="CU31" i="5"/>
  <c r="CV31" i="5"/>
  <c r="CW5" i="5"/>
  <c r="CV20" i="5"/>
  <c r="CV36" i="5"/>
  <c r="CU4" i="5"/>
  <c r="CV4" i="5"/>
  <c r="CU29" i="5"/>
  <c r="CU36" i="5"/>
  <c r="CV22" i="5" l="1"/>
  <c r="E12" i="5"/>
  <c r="P39" i="5"/>
  <c r="P9" i="5"/>
  <c r="P13" i="5"/>
  <c r="P17" i="5"/>
  <c r="P31" i="5"/>
  <c r="P40" i="5"/>
  <c r="P4" i="5"/>
  <c r="P27" i="5"/>
  <c r="P35" i="5"/>
  <c r="P32" i="5"/>
  <c r="P34" i="5"/>
  <c r="P30" i="5"/>
  <c r="P15" i="5"/>
  <c r="P37" i="5"/>
  <c r="P28" i="5"/>
  <c r="P26" i="5"/>
  <c r="P23" i="5"/>
  <c r="P18" i="5"/>
  <c r="P36" i="5"/>
  <c r="P12" i="5"/>
  <c r="P10" i="5"/>
  <c r="P11" i="5"/>
  <c r="P6" i="5"/>
  <c r="P21" i="5"/>
  <c r="P33" i="5"/>
  <c r="P16" i="5"/>
  <c r="P19" i="5"/>
  <c r="P41" i="5"/>
  <c r="P38" i="5"/>
  <c r="P29" i="5"/>
  <c r="P14" i="5"/>
  <c r="P24" i="5"/>
  <c r="P20" i="5"/>
  <c r="P22" i="5"/>
  <c r="Q7" i="5"/>
  <c r="Q9" i="5" s="1"/>
  <c r="R5" i="5"/>
  <c r="O21" i="5"/>
  <c r="M21" i="5"/>
  <c r="N21" i="5"/>
  <c r="M28" i="5"/>
  <c r="M30" i="5"/>
  <c r="N28" i="5"/>
  <c r="N30" i="5"/>
  <c r="O28" i="5"/>
  <c r="O30" i="5"/>
  <c r="M16" i="5"/>
  <c r="M24" i="5"/>
  <c r="M23" i="5"/>
  <c r="N16" i="5"/>
  <c r="N24" i="5"/>
  <c r="N23" i="5"/>
  <c r="O16" i="5"/>
  <c r="O23" i="5"/>
  <c r="O24" i="5"/>
  <c r="M35" i="5"/>
  <c r="M40" i="5"/>
  <c r="O35" i="5"/>
  <c r="O40" i="5"/>
  <c r="N35" i="5"/>
  <c r="N40" i="5"/>
  <c r="O27" i="5"/>
  <c r="O26" i="5"/>
  <c r="N27" i="5"/>
  <c r="N26" i="5"/>
  <c r="M27" i="5"/>
  <c r="M26" i="5"/>
  <c r="M12" i="5"/>
  <c r="O12" i="5"/>
  <c r="N12" i="5"/>
  <c r="CU22" i="5"/>
  <c r="CU37" i="5"/>
  <c r="CV37" i="5"/>
  <c r="N34" i="5"/>
  <c r="N39" i="5"/>
  <c r="O34" i="5"/>
  <c r="O39" i="5"/>
  <c r="M34" i="5"/>
  <c r="M39" i="5"/>
  <c r="O22" i="5"/>
  <c r="O38" i="5"/>
  <c r="O41" i="5"/>
  <c r="N41" i="5"/>
  <c r="N38" i="5"/>
  <c r="M32" i="5"/>
  <c r="M41" i="5"/>
  <c r="M38" i="5"/>
  <c r="N33" i="5"/>
  <c r="N32" i="5"/>
  <c r="O33" i="5"/>
  <c r="O32" i="5"/>
  <c r="O37" i="5"/>
  <c r="O31" i="5"/>
  <c r="M4" i="5"/>
  <c r="M33" i="5"/>
  <c r="O36" i="5"/>
  <c r="O4" i="5"/>
  <c r="O29" i="5"/>
  <c r="O20" i="5"/>
  <c r="O6" i="5"/>
  <c r="N17" i="5"/>
  <c r="N15" i="5"/>
  <c r="N14" i="5"/>
  <c r="O18" i="5"/>
  <c r="O14" i="5"/>
  <c r="O15" i="5"/>
  <c r="O17" i="5"/>
  <c r="M15" i="5"/>
  <c r="M17" i="5"/>
  <c r="M14" i="5"/>
  <c r="N19" i="5"/>
  <c r="N18" i="5"/>
  <c r="N20" i="5"/>
  <c r="M19" i="5"/>
  <c r="M18" i="5"/>
  <c r="N31" i="5"/>
  <c r="M37" i="5"/>
  <c r="O13" i="5"/>
  <c r="O19" i="5"/>
  <c r="N22" i="5"/>
  <c r="N13" i="5"/>
  <c r="N36" i="5"/>
  <c r="N37" i="5"/>
  <c r="N29" i="5"/>
  <c r="N6" i="5"/>
  <c r="N4" i="5"/>
  <c r="M6" i="5"/>
  <c r="M13" i="5"/>
  <c r="M29" i="5"/>
  <c r="M22" i="5"/>
  <c r="M20" i="5"/>
  <c r="M36" i="5"/>
  <c r="M31" i="5"/>
  <c r="CW7" i="5"/>
  <c r="CW9" i="5" s="1"/>
  <c r="CX5" i="5"/>
  <c r="N10" i="5"/>
  <c r="O10" i="5"/>
  <c r="M10" i="5"/>
  <c r="CV10" i="5"/>
  <c r="CU10" i="5"/>
  <c r="M11" i="5"/>
  <c r="CV11" i="5"/>
  <c r="O11" i="5"/>
  <c r="CU11" i="5"/>
  <c r="N11" i="5"/>
  <c r="D25" i="5" l="1"/>
  <c r="E25" i="5" s="1"/>
  <c r="CU12" i="5"/>
  <c r="CV12" i="5"/>
  <c r="R7" i="5"/>
  <c r="R9" i="5" s="1"/>
  <c r="S5" i="5"/>
  <c r="Q32" i="5"/>
  <c r="Q25" i="5"/>
  <c r="Q14" i="5"/>
  <c r="Q19" i="5"/>
  <c r="Q36" i="5"/>
  <c r="Q6" i="5"/>
  <c r="Q13" i="5"/>
  <c r="Q28" i="5"/>
  <c r="Q27" i="5"/>
  <c r="Q4" i="5"/>
  <c r="Q31" i="5"/>
  <c r="Q22" i="5"/>
  <c r="Q38" i="5"/>
  <c r="Q24" i="5"/>
  <c r="Q30" i="5"/>
  <c r="Q16" i="5"/>
  <c r="Q37" i="5"/>
  <c r="Q21" i="5"/>
  <c r="Q39" i="5"/>
  <c r="Q41" i="5"/>
  <c r="Q15" i="5"/>
  <c r="Q23" i="5"/>
  <c r="Q40" i="5"/>
  <c r="Q34" i="5"/>
  <c r="Q18" i="5"/>
  <c r="Q29" i="5"/>
  <c r="Q17" i="5"/>
  <c r="Q12" i="5"/>
  <c r="Q11" i="5"/>
  <c r="Q35" i="5"/>
  <c r="Q33" i="5"/>
  <c r="Q20" i="5"/>
  <c r="Q26" i="5"/>
  <c r="Q10" i="5"/>
  <c r="CW21" i="5"/>
  <c r="CW28" i="5"/>
  <c r="CW30" i="5"/>
  <c r="CW16" i="5"/>
  <c r="CW23" i="5"/>
  <c r="CW24" i="5"/>
  <c r="CW35" i="5"/>
  <c r="CW40" i="5"/>
  <c r="CW27" i="5"/>
  <c r="CW25" i="5"/>
  <c r="CW26" i="5"/>
  <c r="CW12" i="5"/>
  <c r="CW34" i="5"/>
  <c r="CW39" i="5"/>
  <c r="CW41" i="5"/>
  <c r="CW38" i="5"/>
  <c r="CW33" i="5"/>
  <c r="CW32" i="5"/>
  <c r="CW17" i="5"/>
  <c r="CW14" i="5"/>
  <c r="CW15" i="5"/>
  <c r="CW19" i="5"/>
  <c r="CW18" i="5"/>
  <c r="CW22" i="5"/>
  <c r="CW13" i="5"/>
  <c r="CW10" i="5"/>
  <c r="CY5" i="5"/>
  <c r="CZ5" i="5" s="1"/>
  <c r="DA5" i="5" s="1"/>
  <c r="CX7" i="5"/>
  <c r="CX9" i="5" s="1"/>
  <c r="CW31" i="5"/>
  <c r="CW29" i="5"/>
  <c r="CW37" i="5"/>
  <c r="CW4" i="5"/>
  <c r="CW36" i="5"/>
  <c r="CW20" i="5"/>
  <c r="CW11" i="5"/>
  <c r="CV25" i="5" l="1"/>
  <c r="CU25" i="5"/>
  <c r="N25" i="5"/>
  <c r="M25" i="5"/>
  <c r="P25" i="5"/>
  <c r="O25" i="5"/>
  <c r="DB5" i="5"/>
  <c r="DA7" i="5"/>
  <c r="DA9" i="5" s="1"/>
  <c r="CZ7" i="5"/>
  <c r="CZ34" i="5" s="1"/>
  <c r="S7" i="5"/>
  <c r="S9" i="5" s="1"/>
  <c r="T5" i="5"/>
  <c r="R19" i="5"/>
  <c r="R42" i="5"/>
  <c r="R26" i="5"/>
  <c r="R17" i="5"/>
  <c r="R35" i="5"/>
  <c r="R30" i="5"/>
  <c r="R18" i="5"/>
  <c r="R10" i="5"/>
  <c r="R14" i="5"/>
  <c r="R15" i="5"/>
  <c r="R16" i="5"/>
  <c r="R33" i="5"/>
  <c r="R25" i="5"/>
  <c r="R22" i="5"/>
  <c r="R24" i="5"/>
  <c r="R28" i="5"/>
  <c r="R39" i="5"/>
  <c r="R12" i="5"/>
  <c r="R11" i="5"/>
  <c r="R6" i="5"/>
  <c r="R40" i="5"/>
  <c r="R38" i="5"/>
  <c r="R37" i="5"/>
  <c r="R20" i="5"/>
  <c r="R34" i="5"/>
  <c r="R29" i="5"/>
  <c r="R32" i="5"/>
  <c r="R41" i="5"/>
  <c r="R31" i="5"/>
  <c r="R23" i="5"/>
  <c r="R13" i="5"/>
  <c r="R4" i="5"/>
  <c r="R36" i="5"/>
  <c r="R27" i="5"/>
  <c r="R21" i="5"/>
  <c r="CX21" i="5"/>
  <c r="CX28" i="5"/>
  <c r="CX30" i="5"/>
  <c r="CX16" i="5"/>
  <c r="CX24" i="5"/>
  <c r="CX23" i="5"/>
  <c r="CX35" i="5"/>
  <c r="CX40" i="5"/>
  <c r="CX27" i="5"/>
  <c r="CX25" i="5"/>
  <c r="CX26" i="5"/>
  <c r="CX12" i="5"/>
  <c r="CX34" i="5"/>
  <c r="CX39" i="5"/>
  <c r="CX41" i="5"/>
  <c r="CX38" i="5"/>
  <c r="CX33" i="5"/>
  <c r="CX32" i="5"/>
  <c r="CX18" i="5"/>
  <c r="CX14" i="5"/>
  <c r="CX17" i="5"/>
  <c r="CX15" i="5"/>
  <c r="CX4" i="5"/>
  <c r="CX19" i="5"/>
  <c r="CX22" i="5"/>
  <c r="CX13" i="5"/>
  <c r="CX29" i="5"/>
  <c r="CX36" i="5"/>
  <c r="CX20" i="5"/>
  <c r="CX42" i="5"/>
  <c r="CX37" i="5"/>
  <c r="CX31" i="5"/>
  <c r="CX10" i="5"/>
  <c r="CX11" i="5"/>
  <c r="CY7" i="5"/>
  <c r="CZ21" i="5" l="1"/>
  <c r="CZ12" i="5"/>
  <c r="CZ27" i="5"/>
  <c r="CZ41" i="5"/>
  <c r="CZ16" i="5"/>
  <c r="D43" i="5"/>
  <c r="CZ43" i="5" s="1"/>
  <c r="P42" i="5"/>
  <c r="N42" i="5"/>
  <c r="O42" i="5"/>
  <c r="CU42" i="5"/>
  <c r="CV42" i="5"/>
  <c r="CW42" i="5"/>
  <c r="M42" i="5"/>
  <c r="Q42" i="5"/>
  <c r="CZ40" i="5"/>
  <c r="CZ11" i="5"/>
  <c r="CZ32" i="5"/>
  <c r="CZ10" i="5"/>
  <c r="CZ25" i="5"/>
  <c r="CZ29" i="5"/>
  <c r="CZ15" i="5"/>
  <c r="DC5" i="5"/>
  <c r="DB7" i="5"/>
  <c r="CZ30" i="5"/>
  <c r="CZ38" i="5"/>
  <c r="CZ36" i="5"/>
  <c r="CZ31" i="5"/>
  <c r="CZ18" i="5"/>
  <c r="CZ23" i="5"/>
  <c r="DA4" i="5"/>
  <c r="CZ20" i="5"/>
  <c r="CZ42" i="5"/>
  <c r="CZ17" i="5"/>
  <c r="CZ37" i="5"/>
  <c r="CZ22" i="5"/>
  <c r="CZ35" i="5"/>
  <c r="CZ4" i="5"/>
  <c r="CY9" i="5"/>
  <c r="CZ13" i="5"/>
  <c r="CZ9" i="5"/>
  <c r="CZ28" i="5"/>
  <c r="CZ14" i="5"/>
  <c r="CZ24" i="5"/>
  <c r="CZ19" i="5"/>
  <c r="CZ26" i="5"/>
  <c r="CZ33" i="5"/>
  <c r="CZ39" i="5"/>
  <c r="U5" i="5"/>
  <c r="T7" i="5"/>
  <c r="T9" i="5" s="1"/>
  <c r="S43" i="5"/>
  <c r="S20" i="5"/>
  <c r="S19" i="5"/>
  <c r="S6" i="5"/>
  <c r="S35" i="5"/>
  <c r="S29" i="5"/>
  <c r="S25" i="5"/>
  <c r="S42" i="5"/>
  <c r="S24" i="5"/>
  <c r="S28" i="5"/>
  <c r="S38" i="5"/>
  <c r="S34" i="5"/>
  <c r="S40" i="5"/>
  <c r="S14" i="5"/>
  <c r="S21" i="5"/>
  <c r="S32" i="5"/>
  <c r="S31" i="5"/>
  <c r="S12" i="5"/>
  <c r="S36" i="5"/>
  <c r="S22" i="5"/>
  <c r="S23" i="5"/>
  <c r="S39" i="5"/>
  <c r="S13" i="5"/>
  <c r="S33" i="5"/>
  <c r="S17" i="5"/>
  <c r="S26" i="5"/>
  <c r="S4" i="5"/>
  <c r="S27" i="5"/>
  <c r="S41" i="5"/>
  <c r="S16" i="5"/>
  <c r="S15" i="5"/>
  <c r="S10" i="5"/>
  <c r="S30" i="5"/>
  <c r="S37" i="5"/>
  <c r="S11" i="5"/>
  <c r="S18" i="5"/>
  <c r="CY21" i="5"/>
  <c r="CY28" i="5"/>
  <c r="CY30" i="5"/>
  <c r="CY16" i="5"/>
  <c r="CY24" i="5"/>
  <c r="CY23" i="5"/>
  <c r="CY35" i="5"/>
  <c r="CY40" i="5"/>
  <c r="CY27" i="5"/>
  <c r="CY26" i="5"/>
  <c r="CY25" i="5"/>
  <c r="CY12" i="5"/>
  <c r="CY34" i="5"/>
  <c r="CY39" i="5"/>
  <c r="CY41" i="5"/>
  <c r="CY38" i="5"/>
  <c r="CY33" i="5"/>
  <c r="CY32" i="5"/>
  <c r="CY17" i="5"/>
  <c r="CY15" i="5"/>
  <c r="CY14" i="5"/>
  <c r="CY19" i="5"/>
  <c r="CY18" i="5"/>
  <c r="CY22" i="5"/>
  <c r="CY13" i="5"/>
  <c r="CY29" i="5"/>
  <c r="CY31" i="5"/>
  <c r="CY20" i="5"/>
  <c r="CY42" i="5"/>
  <c r="CY36" i="5"/>
  <c r="CY37" i="5"/>
  <c r="CY11" i="5"/>
  <c r="CY10" i="5"/>
  <c r="CY4" i="5"/>
  <c r="CY43" i="5" l="1"/>
  <c r="N43" i="5"/>
  <c r="Q43" i="5"/>
  <c r="CV43" i="5"/>
  <c r="P43" i="5"/>
  <c r="O43" i="5"/>
  <c r="CU43" i="5"/>
  <c r="CW43" i="5"/>
  <c r="M43" i="5"/>
  <c r="R43" i="5"/>
  <c r="CX43" i="5"/>
  <c r="DD5" i="5"/>
  <c r="DD7" i="5" s="1"/>
  <c r="DC7" i="5"/>
  <c r="DB4" i="5"/>
  <c r="DB9" i="5"/>
  <c r="DA17" i="5"/>
  <c r="DA23" i="5"/>
  <c r="DA34" i="5"/>
  <c r="DA24" i="5"/>
  <c r="DA27" i="5"/>
  <c r="DA21" i="5"/>
  <c r="DA16" i="5"/>
  <c r="DA36" i="5"/>
  <c r="DA14" i="5"/>
  <c r="DA38" i="5"/>
  <c r="DA15" i="5"/>
  <c r="DA43" i="5"/>
  <c r="DA40" i="5"/>
  <c r="DA41" i="5"/>
  <c r="DA12" i="5"/>
  <c r="DA22" i="5"/>
  <c r="DA28" i="5"/>
  <c r="DA25" i="5"/>
  <c r="DA42" i="5"/>
  <c r="DA11" i="5"/>
  <c r="DA33" i="5"/>
  <c r="DA29" i="5"/>
  <c r="DA10" i="5"/>
  <c r="DA31" i="5"/>
  <c r="DA37" i="5"/>
  <c r="DA13" i="5"/>
  <c r="DA39" i="5"/>
  <c r="DA19" i="5"/>
  <c r="DA20" i="5"/>
  <c r="DA35" i="5"/>
  <c r="DA18" i="5"/>
  <c r="DA30" i="5"/>
  <c r="DA32" i="5"/>
  <c r="DA26" i="5"/>
  <c r="T31" i="5"/>
  <c r="T42" i="5"/>
  <c r="T35" i="5"/>
  <c r="T15" i="5"/>
  <c r="T11" i="5"/>
  <c r="T20" i="5"/>
  <c r="T29" i="5"/>
  <c r="T22" i="5"/>
  <c r="T21" i="5"/>
  <c r="T30" i="5"/>
  <c r="T39" i="5"/>
  <c r="T16" i="5"/>
  <c r="T40" i="5"/>
  <c r="T37" i="5"/>
  <c r="T10" i="5"/>
  <c r="T36" i="5"/>
  <c r="T33" i="5"/>
  <c r="T28" i="5"/>
  <c r="T26" i="5"/>
  <c r="T27" i="5"/>
  <c r="T14" i="5"/>
  <c r="T18" i="5"/>
  <c r="T23" i="5"/>
  <c r="T43" i="5"/>
  <c r="T4" i="5"/>
  <c r="T32" i="5"/>
  <c r="T19" i="5"/>
  <c r="T13" i="5"/>
  <c r="T34" i="5"/>
  <c r="T6" i="5"/>
  <c r="T38" i="5"/>
  <c r="T25" i="5"/>
  <c r="T17" i="5"/>
  <c r="T41" i="5"/>
  <c r="T24" i="5"/>
  <c r="T12" i="5"/>
  <c r="U7" i="5"/>
  <c r="U9" i="5" s="1"/>
  <c r="V5" i="5"/>
  <c r="DD4" i="5" l="1"/>
  <c r="DC4" i="5"/>
  <c r="DC9" i="5"/>
  <c r="DB24" i="5"/>
  <c r="DB23" i="5"/>
  <c r="DB15" i="5"/>
  <c r="DB12" i="5"/>
  <c r="DB39" i="5"/>
  <c r="DB20" i="5"/>
  <c r="DB17" i="5"/>
  <c r="DB29" i="5"/>
  <c r="DB40" i="5"/>
  <c r="DB10" i="5"/>
  <c r="DB42" i="5"/>
  <c r="DB14" i="5"/>
  <c r="DB34" i="5"/>
  <c r="DB43" i="5"/>
  <c r="DB38" i="5"/>
  <c r="DB25" i="5"/>
  <c r="DB41" i="5"/>
  <c r="DB16" i="5"/>
  <c r="DB31" i="5"/>
  <c r="DB11" i="5"/>
  <c r="DB32" i="5"/>
  <c r="DB27" i="5"/>
  <c r="DB37" i="5"/>
  <c r="DB22" i="5"/>
  <c r="DB19" i="5"/>
  <c r="DB13" i="5"/>
  <c r="DB36" i="5"/>
  <c r="DB35" i="5"/>
  <c r="DB21" i="5"/>
  <c r="DB18" i="5"/>
  <c r="DB30" i="5"/>
  <c r="DB28" i="5"/>
  <c r="DB33" i="5"/>
  <c r="DB26" i="5"/>
  <c r="U43" i="5"/>
  <c r="U41" i="5"/>
  <c r="U35" i="5"/>
  <c r="U28" i="5"/>
  <c r="U30" i="5"/>
  <c r="U14" i="5"/>
  <c r="U15" i="5"/>
  <c r="U20" i="5"/>
  <c r="U31" i="5"/>
  <c r="U22" i="5"/>
  <c r="U33" i="5"/>
  <c r="U32" i="5"/>
  <c r="U27" i="5"/>
  <c r="U6" i="5"/>
  <c r="U39" i="5"/>
  <c r="U29" i="5"/>
  <c r="U11" i="5"/>
  <c r="U34" i="5"/>
  <c r="U21" i="5"/>
  <c r="U42" i="5"/>
  <c r="U26" i="5"/>
  <c r="U16" i="5"/>
  <c r="U37" i="5"/>
  <c r="U18" i="5"/>
  <c r="U17" i="5"/>
  <c r="U23" i="5"/>
  <c r="U36" i="5"/>
  <c r="U13" i="5"/>
  <c r="U4" i="5"/>
  <c r="U38" i="5"/>
  <c r="U25" i="5"/>
  <c r="U19" i="5"/>
  <c r="U12" i="5"/>
  <c r="U40" i="5"/>
  <c r="U24" i="5"/>
  <c r="U10" i="5"/>
  <c r="V7" i="5"/>
  <c r="V9" i="5" s="1"/>
  <c r="W5" i="5"/>
  <c r="DD9" i="5" l="1"/>
  <c r="DE5" i="5"/>
  <c r="DC11" i="5"/>
  <c r="DC16" i="5"/>
  <c r="DC21" i="5"/>
  <c r="DC42" i="5"/>
  <c r="DC28" i="5"/>
  <c r="DC20" i="5"/>
  <c r="DC30" i="5"/>
  <c r="DC27" i="5"/>
  <c r="DC41" i="5"/>
  <c r="DC43" i="5"/>
  <c r="DC15" i="5"/>
  <c r="DC40" i="5"/>
  <c r="DC22" i="5"/>
  <c r="DC18" i="5"/>
  <c r="DC36" i="5"/>
  <c r="DC33" i="5"/>
  <c r="DC35" i="5"/>
  <c r="DC32" i="5"/>
  <c r="DC10" i="5"/>
  <c r="DC29" i="5"/>
  <c r="DC26" i="5"/>
  <c r="DC31" i="5"/>
  <c r="DC24" i="5"/>
  <c r="DC37" i="5"/>
  <c r="DC25" i="5"/>
  <c r="DC23" i="5"/>
  <c r="DC38" i="5"/>
  <c r="DC34" i="5"/>
  <c r="DC39" i="5"/>
  <c r="DC19" i="5"/>
  <c r="DC17" i="5"/>
  <c r="DC13" i="5"/>
  <c r="DC14" i="5"/>
  <c r="DC12" i="5"/>
  <c r="X5" i="5"/>
  <c r="W7" i="5"/>
  <c r="W9" i="5" s="1"/>
  <c r="V34" i="5"/>
  <c r="V11" i="5"/>
  <c r="V23" i="5"/>
  <c r="V13" i="5"/>
  <c r="V20" i="5"/>
  <c r="V24" i="5"/>
  <c r="V30" i="5"/>
  <c r="V41" i="5"/>
  <c r="V21" i="5"/>
  <c r="V27" i="5"/>
  <c r="V12" i="5"/>
  <c r="V16" i="5"/>
  <c r="V33" i="5"/>
  <c r="V37" i="5"/>
  <c r="V10" i="5"/>
  <c r="V39" i="5"/>
  <c r="V19" i="5"/>
  <c r="V15" i="5"/>
  <c r="V29" i="5"/>
  <c r="V36" i="5"/>
  <c r="V26" i="5"/>
  <c r="V35" i="5"/>
  <c r="V22" i="5"/>
  <c r="V17" i="5"/>
  <c r="V25" i="5"/>
  <c r="V14" i="5"/>
  <c r="V18" i="5"/>
  <c r="V38" i="5"/>
  <c r="V4" i="5"/>
  <c r="V40" i="5"/>
  <c r="V32" i="5"/>
  <c r="V43" i="5"/>
  <c r="V6" i="5"/>
  <c r="V42" i="5"/>
  <c r="V28" i="5"/>
  <c r="V31" i="5"/>
  <c r="DE7" i="5" l="1"/>
  <c r="DE9" i="5" s="1"/>
  <c r="DF5" i="5"/>
  <c r="DD42" i="5"/>
  <c r="DD11" i="5"/>
  <c r="DD29" i="5"/>
  <c r="DD10" i="5"/>
  <c r="DD43" i="5"/>
  <c r="DD28" i="5"/>
  <c r="DD37" i="5"/>
  <c r="DD25" i="5"/>
  <c r="DD31" i="5"/>
  <c r="DD39" i="5"/>
  <c r="DD22" i="5"/>
  <c r="DD16" i="5"/>
  <c r="DD41" i="5"/>
  <c r="DD19" i="5"/>
  <c r="DD20" i="5"/>
  <c r="DD32" i="5"/>
  <c r="DD26" i="5"/>
  <c r="DD15" i="5"/>
  <c r="DD35" i="5"/>
  <c r="DD14" i="5"/>
  <c r="DD36" i="5"/>
  <c r="DD38" i="5"/>
  <c r="DD12" i="5"/>
  <c r="DD33" i="5"/>
  <c r="DD40" i="5"/>
  <c r="DD21" i="5"/>
  <c r="DE4" i="5"/>
  <c r="DD23" i="5"/>
  <c r="DD27" i="5"/>
  <c r="DD18" i="5"/>
  <c r="DD17" i="5"/>
  <c r="DD30" i="5"/>
  <c r="DD24" i="5"/>
  <c r="DD34" i="5"/>
  <c r="DD13" i="5"/>
  <c r="W25" i="5"/>
  <c r="W37" i="5"/>
  <c r="W19" i="5"/>
  <c r="W15" i="5"/>
  <c r="W38" i="5"/>
  <c r="W26" i="5"/>
  <c r="W18" i="5"/>
  <c r="W40" i="5"/>
  <c r="W35" i="5"/>
  <c r="W21" i="5"/>
  <c r="W12" i="5"/>
  <c r="W28" i="5"/>
  <c r="W11" i="5"/>
  <c r="W24" i="5"/>
  <c r="W22" i="5"/>
  <c r="W29" i="5"/>
  <c r="W41" i="5"/>
  <c r="W4" i="5"/>
  <c r="W6" i="5"/>
  <c r="W17" i="5"/>
  <c r="W32" i="5"/>
  <c r="W36" i="5"/>
  <c r="W20" i="5"/>
  <c r="W13" i="5"/>
  <c r="W39" i="5"/>
  <c r="W10" i="5"/>
  <c r="W14" i="5"/>
  <c r="W16" i="5"/>
  <c r="W30" i="5"/>
  <c r="W42" i="5"/>
  <c r="W43" i="5"/>
  <c r="W27" i="5"/>
  <c r="W34" i="5"/>
  <c r="W31" i="5"/>
  <c r="W23" i="5"/>
  <c r="W33" i="5"/>
  <c r="Y5" i="5"/>
  <c r="X7" i="5"/>
  <c r="X9" i="5" s="1"/>
  <c r="DG5" i="5" l="1"/>
  <c r="DF7" i="5"/>
  <c r="DF9" i="5" s="1"/>
  <c r="DE38" i="5"/>
  <c r="DE35" i="5"/>
  <c r="DE40" i="5"/>
  <c r="DE25" i="5"/>
  <c r="DE31" i="5"/>
  <c r="DE30" i="5"/>
  <c r="DE17" i="5"/>
  <c r="DE21" i="5"/>
  <c r="DE27" i="5"/>
  <c r="DE43" i="5"/>
  <c r="DE24" i="5"/>
  <c r="DE23" i="5"/>
  <c r="DE37" i="5"/>
  <c r="DE28" i="5"/>
  <c r="DE16" i="5"/>
  <c r="DF4" i="5"/>
  <c r="DE18" i="5"/>
  <c r="DE11" i="5"/>
  <c r="DE22" i="5"/>
  <c r="DE32" i="5"/>
  <c r="DE29" i="5"/>
  <c r="DE42" i="5"/>
  <c r="DE15" i="5"/>
  <c r="DE36" i="5"/>
  <c r="DE26" i="5"/>
  <c r="DE34" i="5"/>
  <c r="DE14" i="5"/>
  <c r="DE10" i="5"/>
  <c r="DE39" i="5"/>
  <c r="DE41" i="5"/>
  <c r="DE33" i="5"/>
  <c r="DE20" i="5"/>
  <c r="DE19" i="5"/>
  <c r="DE12" i="5"/>
  <c r="DE13" i="5"/>
  <c r="Z5" i="5"/>
  <c r="Y7" i="5"/>
  <c r="Y9" i="5" s="1"/>
  <c r="X34" i="5"/>
  <c r="X37" i="5"/>
  <c r="X43" i="5"/>
  <c r="X25" i="5"/>
  <c r="X22" i="5"/>
  <c r="X39" i="5"/>
  <c r="X27" i="5"/>
  <c r="X4" i="5"/>
  <c r="X6" i="5"/>
  <c r="X15" i="5"/>
  <c r="X42" i="5"/>
  <c r="X23" i="5"/>
  <c r="X20" i="5"/>
  <c r="X30" i="5"/>
  <c r="X40" i="5"/>
  <c r="X26" i="5"/>
  <c r="X14" i="5"/>
  <c r="X29" i="5"/>
  <c r="X13" i="5"/>
  <c r="X11" i="5"/>
  <c r="X32" i="5"/>
  <c r="X33" i="5"/>
  <c r="X28" i="5"/>
  <c r="X38" i="5"/>
  <c r="X10" i="5"/>
  <c r="X41" i="5"/>
  <c r="X12" i="5"/>
  <c r="X17" i="5"/>
  <c r="X16" i="5"/>
  <c r="X24" i="5"/>
  <c r="X35" i="5"/>
  <c r="X31" i="5"/>
  <c r="X19" i="5"/>
  <c r="X36" i="5"/>
  <c r="X21" i="5"/>
  <c r="X18" i="5"/>
  <c r="DF23" i="5" l="1"/>
  <c r="DF31" i="5"/>
  <c r="DF24" i="5"/>
  <c r="DF33" i="5"/>
  <c r="DF22" i="5"/>
  <c r="DF15" i="5"/>
  <c r="DF39" i="5"/>
  <c r="DF11" i="5"/>
  <c r="DF28" i="5"/>
  <c r="DF21" i="5"/>
  <c r="DF36" i="5"/>
  <c r="DF37" i="5"/>
  <c r="DF12" i="5"/>
  <c r="DF41" i="5"/>
  <c r="DF20" i="5"/>
  <c r="DF18" i="5"/>
  <c r="DF38" i="5"/>
  <c r="DF19" i="5"/>
  <c r="DF10" i="5"/>
  <c r="DF16" i="5"/>
  <c r="DF25" i="5"/>
  <c r="DF32" i="5"/>
  <c r="DF34" i="5"/>
  <c r="DF42" i="5"/>
  <c r="DF30" i="5"/>
  <c r="DF17" i="5"/>
  <c r="DF14" i="5"/>
  <c r="DF35" i="5"/>
  <c r="DF27" i="5"/>
  <c r="DF13" i="5"/>
  <c r="DF26" i="5"/>
  <c r="DF40" i="5"/>
  <c r="DF43" i="5"/>
  <c r="DF29" i="5"/>
  <c r="DG7" i="5"/>
  <c r="DH5" i="5"/>
  <c r="Y38" i="5"/>
  <c r="Y24" i="5"/>
  <c r="Y29" i="5"/>
  <c r="Y6" i="5"/>
  <c r="Y19" i="5"/>
  <c r="Y17" i="5"/>
  <c r="Y41" i="5"/>
  <c r="Y37" i="5"/>
  <c r="Y43" i="5"/>
  <c r="Y34" i="5"/>
  <c r="Y33" i="5"/>
  <c r="Y14" i="5"/>
  <c r="Y12" i="5"/>
  <c r="Y16" i="5"/>
  <c r="Y42" i="5"/>
  <c r="Y11" i="5"/>
  <c r="Y35" i="5"/>
  <c r="Y20" i="5"/>
  <c r="Y39" i="5"/>
  <c r="Y27" i="5"/>
  <c r="Y13" i="5"/>
  <c r="Y4" i="5"/>
  <c r="Y40" i="5"/>
  <c r="Y32" i="5"/>
  <c r="Y15" i="5"/>
  <c r="Y22" i="5"/>
  <c r="Y28" i="5"/>
  <c r="Y31" i="5"/>
  <c r="Y18" i="5"/>
  <c r="Y26" i="5"/>
  <c r="Y21" i="5"/>
  <c r="Y36" i="5"/>
  <c r="Y23" i="5"/>
  <c r="Y25" i="5"/>
  <c r="Y30" i="5"/>
  <c r="Y10" i="5"/>
  <c r="AA5" i="5"/>
  <c r="Z7" i="5"/>
  <c r="Z9" i="5" s="1"/>
  <c r="DG4" i="5" l="1"/>
  <c r="DG9" i="5"/>
  <c r="DI5" i="5"/>
  <c r="DH7" i="5"/>
  <c r="DH9" i="5" s="1"/>
  <c r="DG38" i="5"/>
  <c r="DG27" i="5"/>
  <c r="DG16" i="5"/>
  <c r="DG13" i="5"/>
  <c r="DG34" i="5"/>
  <c r="DG22" i="5"/>
  <c r="DG42" i="5"/>
  <c r="DG40" i="5"/>
  <c r="DG37" i="5"/>
  <c r="DG26" i="5"/>
  <c r="DG15" i="5"/>
  <c r="DG35" i="5"/>
  <c r="DG23" i="5"/>
  <c r="DG33" i="5"/>
  <c r="DG43" i="5"/>
  <c r="DG10" i="5"/>
  <c r="DG28" i="5"/>
  <c r="DG36" i="5"/>
  <c r="DG25" i="5"/>
  <c r="DG14" i="5"/>
  <c r="DG24" i="5"/>
  <c r="DG12" i="5"/>
  <c r="DG21" i="5"/>
  <c r="DG31" i="5"/>
  <c r="DG29" i="5"/>
  <c r="DG39" i="5"/>
  <c r="DG17" i="5"/>
  <c r="DG11" i="5"/>
  <c r="DG41" i="5"/>
  <c r="DG19" i="5"/>
  <c r="DG32" i="5"/>
  <c r="DG20" i="5"/>
  <c r="DG30" i="5"/>
  <c r="DG18" i="5"/>
  <c r="Z42" i="5"/>
  <c r="Z34" i="5"/>
  <c r="Z32" i="5"/>
  <c r="Z15" i="5"/>
  <c r="Z19" i="5"/>
  <c r="Z20" i="5"/>
  <c r="Z27" i="5"/>
  <c r="Z43" i="5"/>
  <c r="Z21" i="5"/>
  <c r="Z24" i="5"/>
  <c r="Z33" i="5"/>
  <c r="Z12" i="5"/>
  <c r="Z35" i="5"/>
  <c r="Z30" i="5"/>
  <c r="Z10" i="5"/>
  <c r="Z37" i="5"/>
  <c r="Z6" i="5"/>
  <c r="Z4" i="5"/>
  <c r="Z36" i="5"/>
  <c r="Z41" i="5"/>
  <c r="Z26" i="5"/>
  <c r="Z31" i="5"/>
  <c r="Z25" i="5"/>
  <c r="Z29" i="5"/>
  <c r="Z23" i="5"/>
  <c r="Z14" i="5"/>
  <c r="Z16" i="5"/>
  <c r="Z11" i="5"/>
  <c r="Z39" i="5"/>
  <c r="Z22" i="5"/>
  <c r="Z38" i="5"/>
  <c r="Z18" i="5"/>
  <c r="Z13" i="5"/>
  <c r="Z40" i="5"/>
  <c r="Z17" i="5"/>
  <c r="Z28" i="5"/>
  <c r="AB5" i="5"/>
  <c r="AA7" i="5"/>
  <c r="AA9" i="5" s="1"/>
  <c r="DH4" i="5" l="1"/>
  <c r="DH34" i="5"/>
  <c r="DH11" i="5"/>
  <c r="DH13" i="5"/>
  <c r="DH24" i="5"/>
  <c r="DH10" i="5"/>
  <c r="DH38" i="5"/>
  <c r="DH20" i="5"/>
  <c r="DH25" i="5"/>
  <c r="DH35" i="5"/>
  <c r="DH28" i="5"/>
  <c r="DH33" i="5"/>
  <c r="DH40" i="5"/>
  <c r="DH21" i="5"/>
  <c r="DH26" i="5"/>
  <c r="DH18" i="5"/>
  <c r="DH23" i="5"/>
  <c r="DH32" i="5"/>
  <c r="DH15" i="5"/>
  <c r="DH30" i="5"/>
  <c r="DH37" i="5"/>
  <c r="DH16" i="5"/>
  <c r="DH17" i="5"/>
  <c r="DH42" i="5"/>
  <c r="DH31" i="5"/>
  <c r="DH12" i="5"/>
  <c r="DH43" i="5"/>
  <c r="DH41" i="5"/>
  <c r="DH14" i="5"/>
  <c r="DH29" i="5"/>
  <c r="DH22" i="5"/>
  <c r="DH39" i="5"/>
  <c r="DH27" i="5"/>
  <c r="DH19" i="5"/>
  <c r="DH36" i="5"/>
  <c r="DJ5" i="5"/>
  <c r="DI7" i="5"/>
  <c r="DI9" i="5" s="1"/>
  <c r="AA40" i="5"/>
  <c r="AA10" i="5"/>
  <c r="AA30" i="5"/>
  <c r="AA33" i="5"/>
  <c r="AA34" i="5"/>
  <c r="AA32" i="5"/>
  <c r="AA42" i="5"/>
  <c r="AA20" i="5"/>
  <c r="AA27" i="5"/>
  <c r="AA12" i="5"/>
  <c r="AA28" i="5"/>
  <c r="AA21" i="5"/>
  <c r="AA25" i="5"/>
  <c r="AA23" i="5"/>
  <c r="AA24" i="5"/>
  <c r="AA35" i="5"/>
  <c r="AA14" i="5"/>
  <c r="AA17" i="5"/>
  <c r="AA13" i="5"/>
  <c r="AA36" i="5"/>
  <c r="AA31" i="5"/>
  <c r="AA15" i="5"/>
  <c r="AA38" i="5"/>
  <c r="AA22" i="5"/>
  <c r="AA19" i="5"/>
  <c r="AA43" i="5"/>
  <c r="AA4" i="5"/>
  <c r="AA18" i="5"/>
  <c r="AA37" i="5"/>
  <c r="AA29" i="5"/>
  <c r="AA41" i="5"/>
  <c r="AA26" i="5"/>
  <c r="AA39" i="5"/>
  <c r="AA6" i="5"/>
  <c r="AA11" i="5"/>
  <c r="AA16" i="5"/>
  <c r="AB7" i="5"/>
  <c r="AB9" i="5" s="1"/>
  <c r="AC5" i="5"/>
  <c r="DI36" i="5" l="1"/>
  <c r="DI25" i="5"/>
  <c r="DI14" i="5"/>
  <c r="DI19" i="5"/>
  <c r="DI18" i="5"/>
  <c r="DI39" i="5"/>
  <c r="DI17" i="5"/>
  <c r="DI35" i="5"/>
  <c r="DI24" i="5"/>
  <c r="DI13" i="5"/>
  <c r="DI43" i="5"/>
  <c r="DI21" i="5"/>
  <c r="DI20" i="5"/>
  <c r="DI15" i="5"/>
  <c r="DI34" i="5"/>
  <c r="DI23" i="5"/>
  <c r="DI12" i="5"/>
  <c r="DI32" i="5"/>
  <c r="DI42" i="5"/>
  <c r="DI31" i="5"/>
  <c r="DI28" i="5"/>
  <c r="DI16" i="5"/>
  <c r="DI37" i="5"/>
  <c r="DI26" i="5"/>
  <c r="DI33" i="5"/>
  <c r="DI22" i="5"/>
  <c r="DI11" i="5"/>
  <c r="DI10" i="5"/>
  <c r="DI41" i="5"/>
  <c r="DI30" i="5"/>
  <c r="DI40" i="5"/>
  <c r="DI38" i="5"/>
  <c r="DI27" i="5"/>
  <c r="DI29" i="5"/>
  <c r="DJ7" i="5"/>
  <c r="DJ9" i="5" s="1"/>
  <c r="DK5" i="5"/>
  <c r="DI4" i="5"/>
  <c r="AD5" i="5"/>
  <c r="AC7" i="5"/>
  <c r="AC9" i="5" s="1"/>
  <c r="AB42" i="5"/>
  <c r="AB28" i="5"/>
  <c r="AB13" i="5"/>
  <c r="AB30" i="5"/>
  <c r="AB21" i="5"/>
  <c r="AB36" i="5"/>
  <c r="AB23" i="5"/>
  <c r="AB31" i="5"/>
  <c r="AB32" i="5"/>
  <c r="AB4" i="5"/>
  <c r="AB11" i="5"/>
  <c r="AB19" i="5"/>
  <c r="AB10" i="5"/>
  <c r="AB6" i="5"/>
  <c r="AB43" i="5"/>
  <c r="AB12" i="5"/>
  <c r="AB35" i="5"/>
  <c r="AB27" i="5"/>
  <c r="AB33" i="5"/>
  <c r="AB17" i="5"/>
  <c r="AB40" i="5"/>
  <c r="AB38" i="5"/>
  <c r="AB22" i="5"/>
  <c r="AB24" i="5"/>
  <c r="AB34" i="5"/>
  <c r="AB26" i="5"/>
  <c r="AB15" i="5"/>
  <c r="AB25" i="5"/>
  <c r="AB37" i="5"/>
  <c r="AB39" i="5"/>
  <c r="AB14" i="5"/>
  <c r="AB41" i="5"/>
  <c r="AB20" i="5"/>
  <c r="AB16" i="5"/>
  <c r="AB29" i="5"/>
  <c r="AB18" i="5"/>
  <c r="DL5" i="5" l="1"/>
  <c r="DK7" i="5"/>
  <c r="DK9" i="5" s="1"/>
  <c r="DJ38" i="5"/>
  <c r="DJ27" i="5"/>
  <c r="DJ16" i="5"/>
  <c r="DJ34" i="5"/>
  <c r="DJ23" i="5"/>
  <c r="DJ39" i="5"/>
  <c r="DJ17" i="5"/>
  <c r="DJ37" i="5"/>
  <c r="DJ26" i="5"/>
  <c r="DJ15" i="5"/>
  <c r="DJ22" i="5"/>
  <c r="DJ43" i="5"/>
  <c r="DJ21" i="5"/>
  <c r="DK4" i="5"/>
  <c r="DJ19" i="5"/>
  <c r="DJ36" i="5"/>
  <c r="DJ25" i="5"/>
  <c r="DJ14" i="5"/>
  <c r="DJ33" i="5"/>
  <c r="DJ42" i="5"/>
  <c r="DJ20" i="5"/>
  <c r="DJ30" i="5"/>
  <c r="DJ18" i="5"/>
  <c r="DJ28" i="5"/>
  <c r="DJ35" i="5"/>
  <c r="DJ24" i="5"/>
  <c r="DJ13" i="5"/>
  <c r="DJ12" i="5"/>
  <c r="DJ11" i="5"/>
  <c r="DJ32" i="5"/>
  <c r="DJ10" i="5"/>
  <c r="DJ31" i="5"/>
  <c r="DJ41" i="5"/>
  <c r="DJ29" i="5"/>
  <c r="DJ40" i="5"/>
  <c r="DJ4" i="5"/>
  <c r="AC35" i="5"/>
  <c r="AC21" i="5"/>
  <c r="AC18" i="5"/>
  <c r="AC29" i="5"/>
  <c r="AC13" i="5"/>
  <c r="AC31" i="5"/>
  <c r="AC27" i="5"/>
  <c r="AC11" i="5"/>
  <c r="AC30" i="5"/>
  <c r="AC14" i="5"/>
  <c r="AC40" i="5"/>
  <c r="AC25" i="5"/>
  <c r="AC10" i="5"/>
  <c r="AC42" i="5"/>
  <c r="AC19" i="5"/>
  <c r="AC20" i="5"/>
  <c r="AC26" i="5"/>
  <c r="AC28" i="5"/>
  <c r="AC32" i="5"/>
  <c r="AC33" i="5"/>
  <c r="AC23" i="5"/>
  <c r="AC38" i="5"/>
  <c r="AC34" i="5"/>
  <c r="AC6" i="5"/>
  <c r="AC16" i="5"/>
  <c r="AC36" i="5"/>
  <c r="AC17" i="5"/>
  <c r="AC37" i="5"/>
  <c r="AC22" i="5"/>
  <c r="AC39" i="5"/>
  <c r="AC4" i="5"/>
  <c r="AC41" i="5"/>
  <c r="AC15" i="5"/>
  <c r="AC43" i="5"/>
  <c r="AC12" i="5"/>
  <c r="AC24" i="5"/>
  <c r="AE5" i="5"/>
  <c r="AD7" i="5"/>
  <c r="AD9" i="5" s="1"/>
  <c r="DK37" i="5" l="1"/>
  <c r="DK17" i="5"/>
  <c r="DK24" i="5"/>
  <c r="DK13" i="5"/>
  <c r="DK22" i="5"/>
  <c r="DK26" i="5"/>
  <c r="DK12" i="5"/>
  <c r="DK21" i="5"/>
  <c r="DK34" i="5"/>
  <c r="DK42" i="5"/>
  <c r="DK35" i="5"/>
  <c r="DK33" i="5"/>
  <c r="DK29" i="5"/>
  <c r="DK41" i="5"/>
  <c r="DK31" i="5"/>
  <c r="DK38" i="5"/>
  <c r="DK20" i="5"/>
  <c r="DK15" i="5"/>
  <c r="DK39" i="5"/>
  <c r="DK36" i="5"/>
  <c r="DK16" i="5"/>
  <c r="DK19" i="5"/>
  <c r="DK27" i="5"/>
  <c r="DK40" i="5"/>
  <c r="DK32" i="5"/>
  <c r="DK25" i="5"/>
  <c r="DK18" i="5"/>
  <c r="DK23" i="5"/>
  <c r="DK10" i="5"/>
  <c r="DK14" i="5"/>
  <c r="DK43" i="5"/>
  <c r="DK30" i="5"/>
  <c r="DK11" i="5"/>
  <c r="DK28" i="5"/>
  <c r="DL7" i="5"/>
  <c r="DL9" i="5" s="1"/>
  <c r="DM5" i="5"/>
  <c r="AD36" i="5"/>
  <c r="AD22" i="5"/>
  <c r="AD17" i="5"/>
  <c r="AD29" i="5"/>
  <c r="AD28" i="5"/>
  <c r="AD11" i="5"/>
  <c r="AD26" i="5"/>
  <c r="AD21" i="5"/>
  <c r="AD33" i="5"/>
  <c r="AD35" i="5"/>
  <c r="AD24" i="5"/>
  <c r="AD32" i="5"/>
  <c r="AD14" i="5"/>
  <c r="AD31" i="5"/>
  <c r="AD19" i="5"/>
  <c r="AD40" i="5"/>
  <c r="AD13" i="5"/>
  <c r="AD39" i="5"/>
  <c r="AD23" i="5"/>
  <c r="AD38" i="5"/>
  <c r="AD42" i="5"/>
  <c r="AD41" i="5"/>
  <c r="AD18" i="5"/>
  <c r="AD30" i="5"/>
  <c r="AD16" i="5"/>
  <c r="AD12" i="5"/>
  <c r="AD34" i="5"/>
  <c r="AD15" i="5"/>
  <c r="AD27" i="5"/>
  <c r="AD10" i="5"/>
  <c r="AD37" i="5"/>
  <c r="AD6" i="5"/>
  <c r="AD25" i="5"/>
  <c r="AD43" i="5"/>
  <c r="AD4" i="5"/>
  <c r="AD20" i="5"/>
  <c r="AE7" i="5"/>
  <c r="AE9" i="5" s="1"/>
  <c r="AF5" i="5"/>
  <c r="DN5" i="5" l="1"/>
  <c r="DM7" i="5"/>
  <c r="DM9" i="5" s="1"/>
  <c r="DL22" i="5"/>
  <c r="DL14" i="5"/>
  <c r="DL32" i="5"/>
  <c r="DL11" i="5"/>
  <c r="DL30" i="5"/>
  <c r="DL28" i="5"/>
  <c r="DL15" i="5"/>
  <c r="DL34" i="5"/>
  <c r="DL39" i="5"/>
  <c r="DL36" i="5"/>
  <c r="DL13" i="5"/>
  <c r="DL23" i="5"/>
  <c r="DL43" i="5"/>
  <c r="DL29" i="5"/>
  <c r="DL35" i="5"/>
  <c r="DL25" i="5"/>
  <c r="DL42" i="5"/>
  <c r="DL20" i="5"/>
  <c r="DL40" i="5"/>
  <c r="DL21" i="5"/>
  <c r="DL18" i="5"/>
  <c r="DL26" i="5"/>
  <c r="DL10" i="5"/>
  <c r="DL33" i="5"/>
  <c r="DL12" i="5"/>
  <c r="DL27" i="5"/>
  <c r="DL17" i="5"/>
  <c r="DL41" i="5"/>
  <c r="DL24" i="5"/>
  <c r="DL19" i="5"/>
  <c r="DL38" i="5"/>
  <c r="DL37" i="5"/>
  <c r="DL16" i="5"/>
  <c r="DL31" i="5"/>
  <c r="DM4" i="5"/>
  <c r="DL4" i="5"/>
  <c r="AE35" i="5"/>
  <c r="AE41" i="5"/>
  <c r="AE20" i="5"/>
  <c r="AE28" i="5"/>
  <c r="AE37" i="5"/>
  <c r="AE11" i="5"/>
  <c r="AE18" i="5"/>
  <c r="AE31" i="5"/>
  <c r="AE26" i="5"/>
  <c r="AE19" i="5"/>
  <c r="AE12" i="5"/>
  <c r="AE24" i="5"/>
  <c r="AE39" i="5"/>
  <c r="AE4" i="5"/>
  <c r="AE32" i="5"/>
  <c r="AE22" i="5"/>
  <c r="AE21" i="5"/>
  <c r="AE30" i="5"/>
  <c r="AE15" i="5"/>
  <c r="AE13" i="5"/>
  <c r="AE17" i="5"/>
  <c r="AE25" i="5"/>
  <c r="AE16" i="5"/>
  <c r="AE36" i="5"/>
  <c r="AE42" i="5"/>
  <c r="AE38" i="5"/>
  <c r="AE27" i="5"/>
  <c r="AE33" i="5"/>
  <c r="AE29" i="5"/>
  <c r="AE23" i="5"/>
  <c r="AE10" i="5"/>
  <c r="AE43" i="5"/>
  <c r="AE40" i="5"/>
  <c r="AE6" i="5"/>
  <c r="AE34" i="5"/>
  <c r="AE14" i="5"/>
  <c r="AF7" i="5"/>
  <c r="AF9" i="5" s="1"/>
  <c r="AG5" i="5"/>
  <c r="DM40" i="5" l="1"/>
  <c r="DM41" i="5"/>
  <c r="DM17" i="5"/>
  <c r="DM11" i="5"/>
  <c r="DM28" i="5"/>
  <c r="DM20" i="5"/>
  <c r="DM14" i="5"/>
  <c r="DM42" i="5"/>
  <c r="DM33" i="5"/>
  <c r="DM25" i="5"/>
  <c r="DM29" i="5"/>
  <c r="DM30" i="5"/>
  <c r="DM35" i="5"/>
  <c r="DM21" i="5"/>
  <c r="DM18" i="5"/>
  <c r="DM27" i="5"/>
  <c r="DM13" i="5"/>
  <c r="DM43" i="5"/>
  <c r="DM37" i="5"/>
  <c r="DM26" i="5"/>
  <c r="DM39" i="5"/>
  <c r="DM31" i="5"/>
  <c r="DM10" i="5"/>
  <c r="DM24" i="5"/>
  <c r="DM34" i="5"/>
  <c r="DM19" i="5"/>
  <c r="DM32" i="5"/>
  <c r="DM38" i="5"/>
  <c r="DM12" i="5"/>
  <c r="DM23" i="5"/>
  <c r="DM15" i="5"/>
  <c r="DM36" i="5"/>
  <c r="DM22" i="5"/>
  <c r="DM16" i="5"/>
  <c r="DO5" i="5"/>
  <c r="DN7" i="5"/>
  <c r="DN9" i="5" s="1"/>
  <c r="AF35" i="5"/>
  <c r="AF25" i="5"/>
  <c r="AF21" i="5"/>
  <c r="AF31" i="5"/>
  <c r="AF24" i="5"/>
  <c r="AF33" i="5"/>
  <c r="AF37" i="5"/>
  <c r="AF19" i="5"/>
  <c r="AF26" i="5"/>
  <c r="AF11" i="5"/>
  <c r="AF20" i="5"/>
  <c r="AF10" i="5"/>
  <c r="AF16" i="5"/>
  <c r="AF38" i="5"/>
  <c r="AF43" i="5"/>
  <c r="AF40" i="5"/>
  <c r="AF30" i="5"/>
  <c r="AF27" i="5"/>
  <c r="AF28" i="5"/>
  <c r="AF13" i="5"/>
  <c r="AF39" i="5"/>
  <c r="AF12" i="5"/>
  <c r="AF41" i="5"/>
  <c r="AF22" i="5"/>
  <c r="AF14" i="5"/>
  <c r="AF29" i="5"/>
  <c r="AF23" i="5"/>
  <c r="AF32" i="5"/>
  <c r="AF17" i="5"/>
  <c r="AF18" i="5"/>
  <c r="AF15" i="5"/>
  <c r="AF36" i="5"/>
  <c r="AF6" i="5"/>
  <c r="AF4" i="5"/>
  <c r="AF42" i="5"/>
  <c r="AF34" i="5"/>
  <c r="AG7" i="5"/>
  <c r="AG9" i="5" s="1"/>
  <c r="AH5" i="5"/>
  <c r="DN10" i="5" l="1"/>
  <c r="DN19" i="5"/>
  <c r="DN23" i="5"/>
  <c r="DN24" i="5"/>
  <c r="DN28" i="5"/>
  <c r="DN29" i="5"/>
  <c r="DN34" i="5"/>
  <c r="DN13" i="5"/>
  <c r="DN36" i="5"/>
  <c r="DN16" i="5"/>
  <c r="DN41" i="5"/>
  <c r="DN39" i="5"/>
  <c r="DN22" i="5"/>
  <c r="DN38" i="5"/>
  <c r="DN32" i="5"/>
  <c r="DN31" i="5"/>
  <c r="DN40" i="5"/>
  <c r="DN37" i="5"/>
  <c r="DN25" i="5"/>
  <c r="DN35" i="5"/>
  <c r="DN30" i="5"/>
  <c r="DN42" i="5"/>
  <c r="DN43" i="5"/>
  <c r="DN21" i="5"/>
  <c r="DN15" i="5"/>
  <c r="DN12" i="5"/>
  <c r="DN11" i="5"/>
  <c r="DN27" i="5"/>
  <c r="DN26" i="5"/>
  <c r="DN33" i="5"/>
  <c r="DN20" i="5"/>
  <c r="DN18" i="5"/>
  <c r="DN17" i="5"/>
  <c r="DN14" i="5"/>
  <c r="DP5" i="5"/>
  <c r="DO7" i="5"/>
  <c r="DO9" i="5" s="1"/>
  <c r="DN4" i="5"/>
  <c r="AI5" i="5"/>
  <c r="AH7" i="5"/>
  <c r="AH9" i="5" s="1"/>
  <c r="AG37" i="5"/>
  <c r="AG30" i="5"/>
  <c r="AG6" i="5"/>
  <c r="AG32" i="5"/>
  <c r="AG27" i="5"/>
  <c r="AG20" i="5"/>
  <c r="AG39" i="5"/>
  <c r="AG26" i="5"/>
  <c r="AG13" i="5"/>
  <c r="AG11" i="5"/>
  <c r="AG14" i="5"/>
  <c r="AG18" i="5"/>
  <c r="AG21" i="5"/>
  <c r="AG36" i="5"/>
  <c r="AG15" i="5"/>
  <c r="AG33" i="5"/>
  <c r="AG24" i="5"/>
  <c r="AG41" i="5"/>
  <c r="AG23" i="5"/>
  <c r="AG16" i="5"/>
  <c r="AG22" i="5"/>
  <c r="AG31" i="5"/>
  <c r="AG34" i="5"/>
  <c r="AG10" i="5"/>
  <c r="AG40" i="5"/>
  <c r="AG25" i="5"/>
  <c r="AG4" i="5"/>
  <c r="AG12" i="5"/>
  <c r="AG43" i="5"/>
  <c r="AG35" i="5"/>
  <c r="AG17" i="5"/>
  <c r="AG38" i="5"/>
  <c r="AG29" i="5"/>
  <c r="AG28" i="5"/>
  <c r="AG42" i="5"/>
  <c r="AG19" i="5"/>
  <c r="DO12" i="5" l="1"/>
  <c r="DO33" i="5"/>
  <c r="DO16" i="5"/>
  <c r="DO40" i="5"/>
  <c r="DO19" i="5"/>
  <c r="DO43" i="5"/>
  <c r="DO34" i="5"/>
  <c r="DO23" i="5"/>
  <c r="DO13" i="5"/>
  <c r="DO29" i="5"/>
  <c r="DO35" i="5"/>
  <c r="DO24" i="5"/>
  <c r="DO37" i="5"/>
  <c r="DO17" i="5"/>
  <c r="DO32" i="5"/>
  <c r="DO20" i="5"/>
  <c r="DO27" i="5"/>
  <c r="DO31" i="5"/>
  <c r="DO41" i="5"/>
  <c r="DO42" i="5"/>
  <c r="DO15" i="5"/>
  <c r="DO36" i="5"/>
  <c r="DO21" i="5"/>
  <c r="DO38" i="5"/>
  <c r="DO26" i="5"/>
  <c r="DO14" i="5"/>
  <c r="DO30" i="5"/>
  <c r="DO10" i="5"/>
  <c r="DO39" i="5"/>
  <c r="DO11" i="5"/>
  <c r="DO25" i="5"/>
  <c r="DO18" i="5"/>
  <c r="DO28" i="5"/>
  <c r="DO22" i="5"/>
  <c r="DQ5" i="5"/>
  <c r="DP7" i="5"/>
  <c r="DP9" i="5" s="1"/>
  <c r="DO4" i="5"/>
  <c r="AH13" i="5"/>
  <c r="AH15" i="5"/>
  <c r="AH23" i="5"/>
  <c r="AH21" i="5"/>
  <c r="AH33" i="5"/>
  <c r="AH35" i="5"/>
  <c r="AH32" i="5"/>
  <c r="AH34" i="5"/>
  <c r="AH14" i="5"/>
  <c r="AH18" i="5"/>
  <c r="AH10" i="5"/>
  <c r="AH27" i="5"/>
  <c r="AH26" i="5"/>
  <c r="AH36" i="5"/>
  <c r="AH29" i="5"/>
  <c r="AH16" i="5"/>
  <c r="AH31" i="5"/>
  <c r="AH25" i="5"/>
  <c r="AH17" i="5"/>
  <c r="AH24" i="5"/>
  <c r="AH37" i="5"/>
  <c r="AH38" i="5"/>
  <c r="AH30" i="5"/>
  <c r="AH4" i="5"/>
  <c r="AH22" i="5"/>
  <c r="AH40" i="5"/>
  <c r="AH6" i="5"/>
  <c r="AH42" i="5"/>
  <c r="AH19" i="5"/>
  <c r="AH39" i="5"/>
  <c r="AH28" i="5"/>
  <c r="AH41" i="5"/>
  <c r="AH20" i="5"/>
  <c r="AH12" i="5"/>
  <c r="AH11" i="5"/>
  <c r="AH43" i="5"/>
  <c r="AJ5" i="5"/>
  <c r="AI7" i="5"/>
  <c r="AI9" i="5" s="1"/>
  <c r="DP21" i="5" l="1"/>
  <c r="DP19" i="5"/>
  <c r="DP37" i="5"/>
  <c r="DP13" i="5"/>
  <c r="DP36" i="5"/>
  <c r="DP18" i="5"/>
  <c r="DP35" i="5"/>
  <c r="DP15" i="5"/>
  <c r="DP14" i="5"/>
  <c r="DP29" i="5"/>
  <c r="DP23" i="5"/>
  <c r="DP38" i="5"/>
  <c r="DP39" i="5"/>
  <c r="DP41" i="5"/>
  <c r="DP30" i="5"/>
  <c r="DP31" i="5"/>
  <c r="DP12" i="5"/>
  <c r="DP42" i="5"/>
  <c r="DP11" i="5"/>
  <c r="DP43" i="5"/>
  <c r="DP32" i="5"/>
  <c r="DP34" i="5"/>
  <c r="DP28" i="5"/>
  <c r="DP33" i="5"/>
  <c r="DP26" i="5"/>
  <c r="DP22" i="5"/>
  <c r="DP27" i="5"/>
  <c r="DP20" i="5"/>
  <c r="DP40" i="5"/>
  <c r="DP17" i="5"/>
  <c r="DP16" i="5"/>
  <c r="DP25" i="5"/>
  <c r="DP24" i="5"/>
  <c r="DP10" i="5"/>
  <c r="DP4" i="5"/>
  <c r="DQ7" i="5"/>
  <c r="DR5" i="5"/>
  <c r="AK5" i="5"/>
  <c r="AJ7" i="5"/>
  <c r="AJ9" i="5" s="1"/>
  <c r="AI43" i="5"/>
  <c r="AI21" i="5"/>
  <c r="AI23" i="5"/>
  <c r="AI39" i="5"/>
  <c r="AI4" i="5"/>
  <c r="AI27" i="5"/>
  <c r="AI33" i="5"/>
  <c r="AI25" i="5"/>
  <c r="AI36" i="5"/>
  <c r="AI18" i="5"/>
  <c r="AI37" i="5"/>
  <c r="AI22" i="5"/>
  <c r="AI40" i="5"/>
  <c r="AI16" i="5"/>
  <c r="AI10" i="5"/>
  <c r="AI34" i="5"/>
  <c r="AI14" i="5"/>
  <c r="AI31" i="5"/>
  <c r="AI13" i="5"/>
  <c r="AI17" i="5"/>
  <c r="AI30" i="5"/>
  <c r="AI42" i="5"/>
  <c r="AI12" i="5"/>
  <c r="AI24" i="5"/>
  <c r="AI15" i="5"/>
  <c r="AI11" i="5"/>
  <c r="AI29" i="5"/>
  <c r="AI20" i="5"/>
  <c r="AI19" i="5"/>
  <c r="AI26" i="5"/>
  <c r="AI41" i="5"/>
  <c r="AI38" i="5"/>
  <c r="AI35" i="5"/>
  <c r="AI28" i="5"/>
  <c r="AI6" i="5"/>
  <c r="AI32" i="5"/>
  <c r="DQ9" i="5" l="1"/>
  <c r="DQ39" i="5"/>
  <c r="DQ17" i="5"/>
  <c r="DQ23" i="5"/>
  <c r="DQ34" i="5"/>
  <c r="DQ43" i="5"/>
  <c r="DQ21" i="5"/>
  <c r="DQ42" i="5"/>
  <c r="DQ26" i="5"/>
  <c r="DQ41" i="5"/>
  <c r="DQ36" i="5"/>
  <c r="DQ37" i="5"/>
  <c r="DQ35" i="5"/>
  <c r="DQ12" i="5"/>
  <c r="DQ25" i="5"/>
  <c r="DQ15" i="5"/>
  <c r="DQ16" i="5"/>
  <c r="DQ14" i="5"/>
  <c r="DQ31" i="5"/>
  <c r="DQ40" i="5"/>
  <c r="DQ13" i="5"/>
  <c r="DQ24" i="5"/>
  <c r="DQ30" i="5"/>
  <c r="DQ22" i="5"/>
  <c r="DQ27" i="5"/>
  <c r="DQ29" i="5"/>
  <c r="DQ20" i="5"/>
  <c r="DQ33" i="5"/>
  <c r="DQ38" i="5"/>
  <c r="DQ18" i="5"/>
  <c r="DQ19" i="5"/>
  <c r="DQ32" i="5"/>
  <c r="DQ10" i="5"/>
  <c r="DQ11" i="5"/>
  <c r="DQ28" i="5"/>
  <c r="DR7" i="5"/>
  <c r="DR9" i="5" s="1"/>
  <c r="DS5" i="5"/>
  <c r="DQ4" i="5"/>
  <c r="AJ34" i="5"/>
  <c r="AJ23" i="5"/>
  <c r="AJ24" i="5"/>
  <c r="AJ36" i="5"/>
  <c r="AJ14" i="5"/>
  <c r="AJ40" i="5"/>
  <c r="AJ41" i="5"/>
  <c r="AJ26" i="5"/>
  <c r="AJ32" i="5"/>
  <c r="AJ35" i="5"/>
  <c r="AJ11" i="5"/>
  <c r="AJ28" i="5"/>
  <c r="AJ43" i="5"/>
  <c r="AJ33" i="5"/>
  <c r="AJ20" i="5"/>
  <c r="AJ12" i="5"/>
  <c r="AJ17" i="5"/>
  <c r="AJ19" i="5"/>
  <c r="AJ18" i="5"/>
  <c r="AJ39" i="5"/>
  <c r="AJ29" i="5"/>
  <c r="AJ37" i="5"/>
  <c r="AJ30" i="5"/>
  <c r="AJ13" i="5"/>
  <c r="AJ4" i="5"/>
  <c r="AJ10" i="5"/>
  <c r="AJ42" i="5"/>
  <c r="AJ16" i="5"/>
  <c r="AJ31" i="5"/>
  <c r="AJ25" i="5"/>
  <c r="AJ15" i="5"/>
  <c r="AJ22" i="5"/>
  <c r="AJ38" i="5"/>
  <c r="AJ27" i="5"/>
  <c r="AJ21" i="5"/>
  <c r="AJ6" i="5"/>
  <c r="AK7" i="5"/>
  <c r="AK9" i="5" s="1"/>
  <c r="AL5" i="5"/>
  <c r="DT5" i="5" l="1"/>
  <c r="DS7" i="5"/>
  <c r="DS9" i="5" s="1"/>
  <c r="DR37" i="5"/>
  <c r="DR26" i="5"/>
  <c r="DR15" i="5"/>
  <c r="DR43" i="5"/>
  <c r="DR21" i="5"/>
  <c r="DR31" i="5"/>
  <c r="DR40" i="5"/>
  <c r="DR36" i="5"/>
  <c r="DR25" i="5"/>
  <c r="DR14" i="5"/>
  <c r="DR33" i="5"/>
  <c r="DR11" i="5"/>
  <c r="DR10" i="5"/>
  <c r="DR20" i="5"/>
  <c r="DR29" i="5"/>
  <c r="DR39" i="5"/>
  <c r="DR35" i="5"/>
  <c r="DR24" i="5"/>
  <c r="DR13" i="5"/>
  <c r="DR22" i="5"/>
  <c r="DR32" i="5"/>
  <c r="DR18" i="5"/>
  <c r="DR17" i="5"/>
  <c r="DR16" i="5"/>
  <c r="DR34" i="5"/>
  <c r="DR23" i="5"/>
  <c r="DR12" i="5"/>
  <c r="DR42" i="5"/>
  <c r="DR41" i="5"/>
  <c r="DR19" i="5"/>
  <c r="DR28" i="5"/>
  <c r="DR27" i="5"/>
  <c r="DR30" i="5"/>
  <c r="DR38" i="5"/>
  <c r="DR4" i="5"/>
  <c r="AM5" i="5"/>
  <c r="AL7" i="5"/>
  <c r="AL9" i="5" s="1"/>
  <c r="AK34" i="5"/>
  <c r="AK4" i="5"/>
  <c r="AK40" i="5"/>
  <c r="AK42" i="5"/>
  <c r="AK38" i="5"/>
  <c r="AK30" i="5"/>
  <c r="AK24" i="5"/>
  <c r="AK43" i="5"/>
  <c r="AK35" i="5"/>
  <c r="AK17" i="5"/>
  <c r="AK39" i="5"/>
  <c r="AK36" i="5"/>
  <c r="AK41" i="5"/>
  <c r="AK6" i="5"/>
  <c r="AK29" i="5"/>
  <c r="AK22" i="5"/>
  <c r="AK13" i="5"/>
  <c r="AK28" i="5"/>
  <c r="AK26" i="5"/>
  <c r="AK10" i="5"/>
  <c r="AK33" i="5"/>
  <c r="AK20" i="5"/>
  <c r="AK23" i="5"/>
  <c r="AK31" i="5"/>
  <c r="AK27" i="5"/>
  <c r="AK16" i="5"/>
  <c r="AK12" i="5"/>
  <c r="AK15" i="5"/>
  <c r="AK21" i="5"/>
  <c r="AK18" i="5"/>
  <c r="AK25" i="5"/>
  <c r="AK19" i="5"/>
  <c r="AK37" i="5"/>
  <c r="AK14" i="5"/>
  <c r="AK32" i="5"/>
  <c r="AK11" i="5"/>
  <c r="DS4" i="5" l="1"/>
  <c r="DS35" i="5"/>
  <c r="DS23" i="5"/>
  <c r="DS31" i="5"/>
  <c r="DS29" i="5"/>
  <c r="DS39" i="5"/>
  <c r="DS10" i="5"/>
  <c r="DS38" i="5"/>
  <c r="DS16" i="5"/>
  <c r="DS42" i="5"/>
  <c r="DS34" i="5"/>
  <c r="DS22" i="5"/>
  <c r="DS14" i="5"/>
  <c r="DS13" i="5"/>
  <c r="DS40" i="5"/>
  <c r="DS27" i="5"/>
  <c r="DS12" i="5"/>
  <c r="DS24" i="5"/>
  <c r="DS18" i="5"/>
  <c r="DS33" i="5"/>
  <c r="DS21" i="5"/>
  <c r="DS30" i="5"/>
  <c r="DS28" i="5"/>
  <c r="DS15" i="5"/>
  <c r="DS32" i="5"/>
  <c r="DS20" i="5"/>
  <c r="DS43" i="5"/>
  <c r="DS11" i="5"/>
  <c r="DS19" i="5"/>
  <c r="DS26" i="5"/>
  <c r="DS17" i="5"/>
  <c r="DS25" i="5"/>
  <c r="DS36" i="5"/>
  <c r="DS41" i="5"/>
  <c r="DS37" i="5"/>
  <c r="DT7" i="5"/>
  <c r="DT9" i="5" s="1"/>
  <c r="DU5" i="5"/>
  <c r="DU7" i="5" s="1"/>
  <c r="DU9" i="5" s="1"/>
  <c r="AL33" i="5"/>
  <c r="AL29" i="5"/>
  <c r="AL4" i="5"/>
  <c r="AL22" i="5"/>
  <c r="AL30" i="5"/>
  <c r="AL28" i="5"/>
  <c r="AL23" i="5"/>
  <c r="AL37" i="5"/>
  <c r="AL11" i="5"/>
  <c r="AL26" i="5"/>
  <c r="AL16" i="5"/>
  <c r="AL38" i="5"/>
  <c r="AL21" i="5"/>
  <c r="AL18" i="5"/>
  <c r="AL35" i="5"/>
  <c r="AL25" i="5"/>
  <c r="AL12" i="5"/>
  <c r="AL31" i="5"/>
  <c r="AL36" i="5"/>
  <c r="AL10" i="5"/>
  <c r="AL13" i="5"/>
  <c r="AL32" i="5"/>
  <c r="AL41" i="5"/>
  <c r="AL40" i="5"/>
  <c r="AL43" i="5"/>
  <c r="AL17" i="5"/>
  <c r="AL20" i="5"/>
  <c r="AL14" i="5"/>
  <c r="AL42" i="5"/>
  <c r="AL19" i="5"/>
  <c r="AL39" i="5"/>
  <c r="AL27" i="5"/>
  <c r="AL6" i="5"/>
  <c r="AL34" i="5"/>
  <c r="AL15" i="5"/>
  <c r="AL24" i="5"/>
  <c r="AN5" i="5"/>
  <c r="AM7" i="5"/>
  <c r="AM9" i="5" s="1"/>
  <c r="DT38" i="5" l="1"/>
  <c r="DT27" i="5"/>
  <c r="DT16" i="5"/>
  <c r="DT37" i="5"/>
  <c r="DT26" i="5"/>
  <c r="DT15" i="5"/>
  <c r="DT25" i="5"/>
  <c r="DT23" i="5"/>
  <c r="DT33" i="5"/>
  <c r="DT11" i="5"/>
  <c r="DT42" i="5"/>
  <c r="DT20" i="5"/>
  <c r="DT40" i="5"/>
  <c r="DT22" i="5"/>
  <c r="DT30" i="5"/>
  <c r="DT36" i="5"/>
  <c r="DT14" i="5"/>
  <c r="DT34" i="5"/>
  <c r="DT12" i="5"/>
  <c r="DT43" i="5"/>
  <c r="DT32" i="5"/>
  <c r="DT21" i="5"/>
  <c r="DT41" i="5"/>
  <c r="DT19" i="5"/>
  <c r="DT35" i="5"/>
  <c r="DT24" i="5"/>
  <c r="DT13" i="5"/>
  <c r="DU4" i="5"/>
  <c r="DT10" i="5"/>
  <c r="DT28" i="5"/>
  <c r="DT29" i="5"/>
  <c r="DT18" i="5"/>
  <c r="DT17" i="5"/>
  <c r="DT31" i="5"/>
  <c r="DT39" i="5"/>
  <c r="DU39" i="5"/>
  <c r="DU28" i="5"/>
  <c r="DU17" i="5"/>
  <c r="DU38" i="5"/>
  <c r="DU27" i="5"/>
  <c r="DU16" i="5"/>
  <c r="DU37" i="5"/>
  <c r="DU26" i="5"/>
  <c r="DU33" i="5"/>
  <c r="DU32" i="5"/>
  <c r="DU31" i="5"/>
  <c r="DU19" i="5"/>
  <c r="DU18" i="5"/>
  <c r="DU25" i="5"/>
  <c r="DU35" i="5"/>
  <c r="DU12" i="5"/>
  <c r="DU11" i="5"/>
  <c r="DU10" i="5"/>
  <c r="DU20" i="5"/>
  <c r="DU15" i="5"/>
  <c r="DU13" i="5"/>
  <c r="DU34" i="5"/>
  <c r="DU22" i="5"/>
  <c r="DU21" i="5"/>
  <c r="DU36" i="5"/>
  <c r="DU14" i="5"/>
  <c r="DU23" i="5"/>
  <c r="DU43" i="5"/>
  <c r="DU42" i="5"/>
  <c r="DU24" i="5"/>
  <c r="DU40" i="5"/>
  <c r="DU29" i="5"/>
  <c r="DU41" i="5"/>
  <c r="DU30" i="5"/>
  <c r="DT4" i="5"/>
  <c r="AM34" i="5"/>
  <c r="AM17" i="5"/>
  <c r="AM27" i="5"/>
  <c r="AM10" i="5"/>
  <c r="AM23" i="5"/>
  <c r="AM31" i="5"/>
  <c r="AM42" i="5"/>
  <c r="AM37" i="5"/>
  <c r="AM20" i="5"/>
  <c r="AM11" i="5"/>
  <c r="AM4" i="5"/>
  <c r="AM36" i="5"/>
  <c r="AM15" i="5"/>
  <c r="AM12" i="5"/>
  <c r="AM28" i="5"/>
  <c r="AM35" i="5"/>
  <c r="AM33" i="5"/>
  <c r="AM25" i="5"/>
  <c r="AM26" i="5"/>
  <c r="AM24" i="5"/>
  <c r="AM16" i="5"/>
  <c r="AM21" i="5"/>
  <c r="AM38" i="5"/>
  <c r="AM19" i="5"/>
  <c r="AM14" i="5"/>
  <c r="AM40" i="5"/>
  <c r="AM6" i="5"/>
  <c r="AM32" i="5"/>
  <c r="AM18" i="5"/>
  <c r="AM39" i="5"/>
  <c r="AM29" i="5"/>
  <c r="AM30" i="5"/>
  <c r="AM13" i="5"/>
  <c r="AM41" i="5"/>
  <c r="AM22" i="5"/>
  <c r="AM43" i="5"/>
  <c r="AN7" i="5"/>
  <c r="AN9" i="5" s="1"/>
  <c r="AO5" i="5"/>
  <c r="AP5" i="5" l="1"/>
  <c r="AO7" i="5"/>
  <c r="AO9" i="5" s="1"/>
  <c r="AN34" i="5"/>
  <c r="AN19" i="5"/>
  <c r="AN28" i="5"/>
  <c r="AN11" i="5"/>
  <c r="AN41" i="5"/>
  <c r="AN43" i="5"/>
  <c r="AN26" i="5"/>
  <c r="AN36" i="5"/>
  <c r="AN12" i="5"/>
  <c r="AN35" i="5"/>
  <c r="AN24" i="5"/>
  <c r="AN42" i="5"/>
  <c r="AN13" i="5"/>
  <c r="AN16" i="5"/>
  <c r="AN30" i="5"/>
  <c r="AN31" i="5"/>
  <c r="AN33" i="5"/>
  <c r="AN20" i="5"/>
  <c r="AN37" i="5"/>
  <c r="AN22" i="5"/>
  <c r="AN40" i="5"/>
  <c r="AN17" i="5"/>
  <c r="AN21" i="5"/>
  <c r="AN6" i="5"/>
  <c r="AN38" i="5"/>
  <c r="AN15" i="5"/>
  <c r="AN29" i="5"/>
  <c r="AN10" i="5"/>
  <c r="AN4" i="5"/>
  <c r="AN39" i="5"/>
  <c r="AN14" i="5"/>
  <c r="AN18" i="5"/>
  <c r="AN23" i="5"/>
  <c r="AN25" i="5"/>
  <c r="AN32" i="5"/>
  <c r="AN27" i="5"/>
  <c r="AO36" i="5" l="1"/>
  <c r="AO39" i="5"/>
  <c r="AO35" i="5"/>
  <c r="AO29" i="5"/>
  <c r="AO19" i="5"/>
  <c r="AO41" i="5"/>
  <c r="AO32" i="5"/>
  <c r="AO38" i="5"/>
  <c r="AO24" i="5"/>
  <c r="AO27" i="5"/>
  <c r="AO17" i="5"/>
  <c r="AO23" i="5"/>
  <c r="AO33" i="5"/>
  <c r="AO40" i="5"/>
  <c r="AO6" i="5"/>
  <c r="AO25" i="5"/>
  <c r="AO42" i="5"/>
  <c r="AO31" i="5"/>
  <c r="AO16" i="5"/>
  <c r="AO21" i="5"/>
  <c r="AO34" i="5"/>
  <c r="AO18" i="5"/>
  <c r="AO26" i="5"/>
  <c r="AO12" i="5"/>
  <c r="AO13" i="5"/>
  <c r="AO14" i="5"/>
  <c r="AO15" i="5"/>
  <c r="AO30" i="5"/>
  <c r="AO20" i="5"/>
  <c r="AO28" i="5"/>
  <c r="AO10" i="5"/>
  <c r="AO43" i="5"/>
  <c r="AO37" i="5"/>
  <c r="AO11" i="5"/>
  <c r="AO4" i="5"/>
  <c r="AO22" i="5"/>
  <c r="AQ5" i="5"/>
  <c r="AP7" i="5"/>
  <c r="AP9" i="5" s="1"/>
  <c r="AQ7" i="5" l="1"/>
  <c r="AQ9" i="5" s="1"/>
  <c r="AR5" i="5"/>
  <c r="AP42" i="5"/>
  <c r="AP14" i="5"/>
  <c r="AP21" i="5"/>
  <c r="AP11" i="5"/>
  <c r="AP35" i="5"/>
  <c r="AP6" i="5"/>
  <c r="AP22" i="5"/>
  <c r="AP29" i="5"/>
  <c r="AP16" i="5"/>
  <c r="AP31" i="5"/>
  <c r="AP10" i="5"/>
  <c r="AP27" i="5"/>
  <c r="AP37" i="5"/>
  <c r="AP34" i="5"/>
  <c r="AP41" i="5"/>
  <c r="AP4" i="5"/>
  <c r="AP24" i="5"/>
  <c r="AP19" i="5"/>
  <c r="AP28" i="5"/>
  <c r="AP33" i="5"/>
  <c r="AP15" i="5"/>
  <c r="AP18" i="5"/>
  <c r="AP30" i="5"/>
  <c r="AP12" i="5"/>
  <c r="AP26" i="5"/>
  <c r="AP25" i="5"/>
  <c r="AP39" i="5"/>
  <c r="AP23" i="5"/>
  <c r="AP43" i="5"/>
  <c r="AP32" i="5"/>
  <c r="AP17" i="5"/>
  <c r="AP36" i="5"/>
  <c r="AP38" i="5"/>
  <c r="AP20" i="5"/>
  <c r="AP13" i="5"/>
  <c r="AP40" i="5"/>
  <c r="AR7" i="5" l="1"/>
  <c r="AR9" i="5" s="1"/>
  <c r="AS5" i="5"/>
  <c r="AQ28" i="5"/>
  <c r="AQ41" i="5"/>
  <c r="AQ18" i="5"/>
  <c r="AQ31" i="5"/>
  <c r="AQ27" i="5"/>
  <c r="AQ39" i="5"/>
  <c r="AQ12" i="5"/>
  <c r="AQ16" i="5"/>
  <c r="AQ26" i="5"/>
  <c r="AQ25" i="5"/>
  <c r="AQ34" i="5"/>
  <c r="AQ14" i="5"/>
  <c r="AQ13" i="5"/>
  <c r="AQ11" i="5"/>
  <c r="AQ17" i="5"/>
  <c r="AQ15" i="5"/>
  <c r="AQ36" i="5"/>
  <c r="AQ37" i="5"/>
  <c r="AQ6" i="5"/>
  <c r="AQ22" i="5"/>
  <c r="AQ4" i="5"/>
  <c r="AQ40" i="5"/>
  <c r="AQ35" i="5"/>
  <c r="AQ30" i="5"/>
  <c r="AQ32" i="5"/>
  <c r="AQ43" i="5"/>
  <c r="AQ10" i="5"/>
  <c r="AQ20" i="5"/>
  <c r="AQ33" i="5"/>
  <c r="AQ42" i="5"/>
  <c r="AQ19" i="5"/>
  <c r="AQ38" i="5"/>
  <c r="AQ24" i="5"/>
  <c r="AQ29" i="5"/>
  <c r="AQ21" i="5"/>
  <c r="AQ23" i="5"/>
  <c r="AT5" i="5" l="1"/>
  <c r="AS7" i="5"/>
  <c r="AS9" i="5" s="1"/>
  <c r="AR31" i="5"/>
  <c r="AR20" i="5"/>
  <c r="AR39" i="5"/>
  <c r="AR10" i="5"/>
  <c r="AR22" i="5"/>
  <c r="AR6" i="5"/>
  <c r="AR30" i="5"/>
  <c r="AR11" i="5"/>
  <c r="AR18" i="5"/>
  <c r="AR37" i="5"/>
  <c r="AR27" i="5"/>
  <c r="AR12" i="5"/>
  <c r="AR36" i="5"/>
  <c r="AR41" i="5"/>
  <c r="AR16" i="5"/>
  <c r="AR25" i="5"/>
  <c r="AR32" i="5"/>
  <c r="AR21" i="5"/>
  <c r="AR17" i="5"/>
  <c r="AR38" i="5"/>
  <c r="AR29" i="5"/>
  <c r="AR35" i="5"/>
  <c r="AR43" i="5"/>
  <c r="AR15" i="5"/>
  <c r="AR23" i="5"/>
  <c r="AR14" i="5"/>
  <c r="AR33" i="5"/>
  <c r="AR28" i="5"/>
  <c r="AR26" i="5"/>
  <c r="AR40" i="5"/>
  <c r="AR24" i="5"/>
  <c r="AR19" i="5"/>
  <c r="AR4" i="5"/>
  <c r="AR42" i="5"/>
  <c r="AR34" i="5"/>
  <c r="AR13" i="5"/>
  <c r="AS35" i="5" l="1"/>
  <c r="AS11" i="5"/>
  <c r="AS34" i="5"/>
  <c r="AS41" i="5"/>
  <c r="AS31" i="5"/>
  <c r="AS12" i="5"/>
  <c r="AS24" i="5"/>
  <c r="AS18" i="5"/>
  <c r="AS16" i="5"/>
  <c r="AS17" i="5"/>
  <c r="AS37" i="5"/>
  <c r="AS21" i="5"/>
  <c r="AS29" i="5"/>
  <c r="AS13" i="5"/>
  <c r="AS43" i="5"/>
  <c r="AS39" i="5"/>
  <c r="AS30" i="5"/>
  <c r="AS28" i="5"/>
  <c r="AS25" i="5"/>
  <c r="AS20" i="5"/>
  <c r="AS40" i="5"/>
  <c r="AS27" i="5"/>
  <c r="AS10" i="5"/>
  <c r="AS26" i="5"/>
  <c r="AS33" i="5"/>
  <c r="AS23" i="5"/>
  <c r="AS22" i="5"/>
  <c r="AS6" i="5"/>
  <c r="AS14" i="5"/>
  <c r="AS19" i="5"/>
  <c r="AS38" i="5"/>
  <c r="AS4" i="5"/>
  <c r="AS42" i="5"/>
  <c r="AS15" i="5"/>
  <c r="AS32" i="5"/>
  <c r="AS36" i="5"/>
  <c r="AT7" i="5"/>
  <c r="AT9" i="5" s="1"/>
  <c r="AU5" i="5"/>
  <c r="AU7" i="5" l="1"/>
  <c r="AU9" i="5" s="1"/>
  <c r="AV5" i="5"/>
  <c r="AT35" i="5"/>
  <c r="AT26" i="5"/>
  <c r="AT11" i="5"/>
  <c r="AT32" i="5"/>
  <c r="AT21" i="5"/>
  <c r="AT16" i="5"/>
  <c r="AT39" i="5"/>
  <c r="AT34" i="5"/>
  <c r="AT13" i="5"/>
  <c r="AT15" i="5"/>
  <c r="AT19" i="5"/>
  <c r="AT6" i="5"/>
  <c r="AT42" i="5"/>
  <c r="AT25" i="5"/>
  <c r="AT43" i="5"/>
  <c r="AT4" i="5"/>
  <c r="AT14" i="5"/>
  <c r="AT40" i="5"/>
  <c r="AT41" i="5"/>
  <c r="AT36" i="5"/>
  <c r="AT31" i="5"/>
  <c r="AT24" i="5"/>
  <c r="AT37" i="5"/>
  <c r="AT23" i="5"/>
  <c r="AT17" i="5"/>
  <c r="AT30" i="5"/>
  <c r="AT38" i="5"/>
  <c r="AT28" i="5"/>
  <c r="AT10" i="5"/>
  <c r="AT12" i="5"/>
  <c r="AT29" i="5"/>
  <c r="AT20" i="5"/>
  <c r="AT33" i="5"/>
  <c r="AT27" i="5"/>
  <c r="AT18" i="5"/>
  <c r="AT22" i="5"/>
  <c r="AV7" i="5" l="1"/>
  <c r="AV9" i="5" s="1"/>
  <c r="AW5" i="5"/>
  <c r="AU39" i="5"/>
  <c r="AU23" i="5"/>
  <c r="AU11" i="5"/>
  <c r="AU12" i="5"/>
  <c r="AU21" i="5"/>
  <c r="AU35" i="5"/>
  <c r="AU41" i="5"/>
  <c r="AU43" i="5"/>
  <c r="AU4" i="5"/>
  <c r="AU13" i="5"/>
  <c r="AU42" i="5"/>
  <c r="AU26" i="5"/>
  <c r="AU38" i="5"/>
  <c r="AU31" i="5"/>
  <c r="AU16" i="5"/>
  <c r="AU33" i="5"/>
  <c r="AU19" i="5"/>
  <c r="AU36" i="5"/>
  <c r="AU40" i="5"/>
  <c r="AU37" i="5"/>
  <c r="AU29" i="5"/>
  <c r="AU32" i="5"/>
  <c r="AU30" i="5"/>
  <c r="AU6" i="5"/>
  <c r="AU17" i="5"/>
  <c r="AU10" i="5"/>
  <c r="AU22" i="5"/>
  <c r="AU25" i="5"/>
  <c r="AU20" i="5"/>
  <c r="AU24" i="5"/>
  <c r="AU14" i="5"/>
  <c r="AU34" i="5"/>
  <c r="AU15" i="5"/>
  <c r="AU27" i="5"/>
  <c r="AU28" i="5"/>
  <c r="AU18" i="5"/>
  <c r="AX5" i="5" l="1"/>
  <c r="AW7" i="5"/>
  <c r="AW9" i="5" s="1"/>
  <c r="AV41" i="5"/>
  <c r="AV28" i="5"/>
  <c r="AV18" i="5"/>
  <c r="AV6" i="5"/>
  <c r="AV42" i="5"/>
  <c r="AV32" i="5"/>
  <c r="AV35" i="5"/>
  <c r="AV36" i="5"/>
  <c r="AV43" i="5"/>
  <c r="AV23" i="5"/>
  <c r="AV17" i="5"/>
  <c r="AV19" i="5"/>
  <c r="AV13" i="5"/>
  <c r="AV38" i="5"/>
  <c r="AV21" i="5"/>
  <c r="AV31" i="5"/>
  <c r="AV30" i="5"/>
  <c r="AV34" i="5"/>
  <c r="AV14" i="5"/>
  <c r="AV10" i="5"/>
  <c r="AV22" i="5"/>
  <c r="AV27" i="5"/>
  <c r="AV37" i="5"/>
  <c r="AV26" i="5"/>
  <c r="AV4" i="5"/>
  <c r="AV24" i="5"/>
  <c r="AV25" i="5"/>
  <c r="AV33" i="5"/>
  <c r="AV12" i="5"/>
  <c r="AV16" i="5"/>
  <c r="AV15" i="5"/>
  <c r="AV39" i="5"/>
  <c r="AV29" i="5"/>
  <c r="AV40" i="5"/>
  <c r="AV20" i="5"/>
  <c r="AV11" i="5"/>
  <c r="AW33" i="5" l="1"/>
  <c r="AW38" i="5"/>
  <c r="AW34" i="5"/>
  <c r="AW29" i="5"/>
  <c r="AW22" i="5"/>
  <c r="AW23" i="5"/>
  <c r="AW39" i="5"/>
  <c r="AW11" i="5"/>
  <c r="AW14" i="5"/>
  <c r="AW43" i="5"/>
  <c r="AW12" i="5"/>
  <c r="AW27" i="5"/>
  <c r="AW32" i="5"/>
  <c r="AW26" i="5"/>
  <c r="AW4" i="5"/>
  <c r="AW37" i="5"/>
  <c r="AW20" i="5"/>
  <c r="AW30" i="5"/>
  <c r="AW13" i="5"/>
  <c r="AW21" i="5"/>
  <c r="AW31" i="5"/>
  <c r="AW25" i="5"/>
  <c r="AW10" i="5"/>
  <c r="AW17" i="5"/>
  <c r="AW36" i="5"/>
  <c r="AW16" i="5"/>
  <c r="AW24" i="5"/>
  <c r="AW15" i="5"/>
  <c r="AW35" i="5"/>
  <c r="AW28" i="5"/>
  <c r="AW40" i="5"/>
  <c r="AW18" i="5"/>
  <c r="AW41" i="5"/>
  <c r="AW42" i="5"/>
  <c r="AW6" i="5"/>
  <c r="AW19" i="5"/>
  <c r="AX7" i="5"/>
  <c r="AX9" i="5" s="1"/>
  <c r="AY5" i="5"/>
  <c r="AZ5" i="5" l="1"/>
  <c r="AY7" i="5"/>
  <c r="AY9" i="5" s="1"/>
  <c r="AX29" i="5"/>
  <c r="AX10" i="5"/>
  <c r="AX4" i="5"/>
  <c r="AX6" i="5"/>
  <c r="AX20" i="5"/>
  <c r="AX40" i="5"/>
  <c r="AX38" i="5"/>
  <c r="AX27" i="5"/>
  <c r="AX42" i="5"/>
  <c r="AX43" i="5"/>
  <c r="AX25" i="5"/>
  <c r="AX28" i="5"/>
  <c r="AX18" i="5"/>
  <c r="AX19" i="5"/>
  <c r="AX26" i="5"/>
  <c r="AX41" i="5"/>
  <c r="AX13" i="5"/>
  <c r="AX21" i="5"/>
  <c r="AX24" i="5"/>
  <c r="AX23" i="5"/>
  <c r="AX17" i="5"/>
  <c r="AX14" i="5"/>
  <c r="AX37" i="5"/>
  <c r="AX33" i="5"/>
  <c r="AX39" i="5"/>
  <c r="AX32" i="5"/>
  <c r="AX35" i="5"/>
  <c r="AX16" i="5"/>
  <c r="AX36" i="5"/>
  <c r="AX30" i="5"/>
  <c r="AX12" i="5"/>
  <c r="AX11" i="5"/>
  <c r="AX34" i="5"/>
  <c r="AX31" i="5"/>
  <c r="AX15" i="5"/>
  <c r="AX22" i="5"/>
  <c r="AY32" i="5" l="1"/>
  <c r="AY17" i="5"/>
  <c r="AY15" i="5"/>
  <c r="AY11" i="5"/>
  <c r="AY39" i="5"/>
  <c r="AY38" i="5"/>
  <c r="AY40" i="5"/>
  <c r="AY34" i="5"/>
  <c r="AY12" i="5"/>
  <c r="AY16" i="5"/>
  <c r="AY21" i="5"/>
  <c r="AY33" i="5"/>
  <c r="AY42" i="5"/>
  <c r="AY14" i="5"/>
  <c r="AY13" i="5"/>
  <c r="AY4" i="5"/>
  <c r="AY41" i="5"/>
  <c r="AY23" i="5"/>
  <c r="AY31" i="5"/>
  <c r="AY35" i="5"/>
  <c r="AY19" i="5"/>
  <c r="AY29" i="5"/>
  <c r="AY24" i="5"/>
  <c r="AY20" i="5"/>
  <c r="AY30" i="5"/>
  <c r="AY28" i="5"/>
  <c r="AY25" i="5"/>
  <c r="AY10" i="5"/>
  <c r="AY37" i="5"/>
  <c r="AY27" i="5"/>
  <c r="AY36" i="5"/>
  <c r="AY26" i="5"/>
  <c r="AY22" i="5"/>
  <c r="AY43" i="5"/>
  <c r="AY18" i="5"/>
  <c r="AY6" i="5"/>
  <c r="AZ7" i="5"/>
  <c r="AZ9" i="5" s="1"/>
  <c r="BA5" i="5"/>
  <c r="BA7" i="5" l="1"/>
  <c r="BA9" i="5" s="1"/>
  <c r="BB5" i="5"/>
  <c r="AZ36" i="5"/>
  <c r="AZ27" i="5"/>
  <c r="AZ32" i="5"/>
  <c r="AZ35" i="5"/>
  <c r="AZ39" i="5"/>
  <c r="AZ13" i="5"/>
  <c r="AZ24" i="5"/>
  <c r="AZ31" i="5"/>
  <c r="AZ17" i="5"/>
  <c r="AZ41" i="5"/>
  <c r="AZ20" i="5"/>
  <c r="AZ11" i="5"/>
  <c r="AZ43" i="5"/>
  <c r="AZ23" i="5"/>
  <c r="AZ34" i="5"/>
  <c r="AZ37" i="5"/>
  <c r="AZ29" i="5"/>
  <c r="AZ12" i="5"/>
  <c r="AZ10" i="5"/>
  <c r="AZ6" i="5"/>
  <c r="AZ14" i="5"/>
  <c r="AZ15" i="5"/>
  <c r="AZ42" i="5"/>
  <c r="AZ4" i="5"/>
  <c r="AZ18" i="5"/>
  <c r="AZ40" i="5"/>
  <c r="AZ22" i="5"/>
  <c r="AZ19" i="5"/>
  <c r="AZ28" i="5"/>
  <c r="AZ26" i="5"/>
  <c r="AZ38" i="5"/>
  <c r="AZ25" i="5"/>
  <c r="AZ33" i="5"/>
  <c r="AZ16" i="5"/>
  <c r="AZ30" i="5"/>
  <c r="AZ21" i="5"/>
  <c r="BC5" i="5" l="1"/>
  <c r="BB7" i="5"/>
  <c r="BB9" i="5" s="1"/>
  <c r="BA41" i="5"/>
  <c r="BA26" i="5"/>
  <c r="BA29" i="5"/>
  <c r="BA25" i="5"/>
  <c r="BA10" i="5"/>
  <c r="BA6" i="5"/>
  <c r="BA20" i="5"/>
  <c r="BA12" i="5"/>
  <c r="BA33" i="5"/>
  <c r="BA42" i="5"/>
  <c r="BA16" i="5"/>
  <c r="BA30" i="5"/>
  <c r="BA17" i="5"/>
  <c r="BA13" i="5"/>
  <c r="BA19" i="5"/>
  <c r="BA21" i="5"/>
  <c r="BA34" i="5"/>
  <c r="BA36" i="5"/>
  <c r="BA38" i="5"/>
  <c r="BA31" i="5"/>
  <c r="BA15" i="5"/>
  <c r="BA37" i="5"/>
  <c r="BA40" i="5"/>
  <c r="BA18" i="5"/>
  <c r="BA32" i="5"/>
  <c r="BA24" i="5"/>
  <c r="BA22" i="5"/>
  <c r="BA4" i="5"/>
  <c r="BA35" i="5"/>
  <c r="BA28" i="5"/>
  <c r="BA43" i="5"/>
  <c r="BA14" i="5"/>
  <c r="BA39" i="5"/>
  <c r="BA27" i="5"/>
  <c r="BA23" i="5"/>
  <c r="BA11" i="5"/>
  <c r="BB41" i="5" l="1"/>
  <c r="BB42" i="5"/>
  <c r="BB39" i="5"/>
  <c r="BB25" i="5"/>
  <c r="BB19" i="5"/>
  <c r="BB23" i="5"/>
  <c r="BB24" i="5"/>
  <c r="BB11" i="5"/>
  <c r="BB32" i="5"/>
  <c r="BB12" i="5"/>
  <c r="BB36" i="5"/>
  <c r="BB13" i="5"/>
  <c r="BB33" i="5"/>
  <c r="BB29" i="5"/>
  <c r="BB28" i="5"/>
  <c r="BB10" i="5"/>
  <c r="BB34" i="5"/>
  <c r="BB22" i="5"/>
  <c r="BB6" i="5"/>
  <c r="BB43" i="5"/>
  <c r="BB18" i="5"/>
  <c r="BB27" i="5"/>
  <c r="BB31" i="5"/>
  <c r="BB15" i="5"/>
  <c r="BB37" i="5"/>
  <c r="BB16" i="5"/>
  <c r="BB17" i="5"/>
  <c r="BB20" i="5"/>
  <c r="BB35" i="5"/>
  <c r="BB38" i="5"/>
  <c r="BB30" i="5"/>
  <c r="BB21" i="5"/>
  <c r="BB4" i="5"/>
  <c r="BB40" i="5"/>
  <c r="BB26" i="5"/>
  <c r="BB14" i="5"/>
  <c r="BC7" i="5"/>
  <c r="BC9" i="5" s="1"/>
  <c r="BD5" i="5"/>
  <c r="BC43" i="5" l="1"/>
  <c r="BC11" i="5"/>
  <c r="BC12" i="5"/>
  <c r="BC20" i="5"/>
  <c r="BC34" i="5"/>
  <c r="BC15" i="5"/>
  <c r="BC40" i="5"/>
  <c r="BC21" i="5"/>
  <c r="BC14" i="5"/>
  <c r="BC29" i="5"/>
  <c r="BC33" i="5"/>
  <c r="BC37" i="5"/>
  <c r="BC30" i="5"/>
  <c r="BC17" i="5"/>
  <c r="BC16" i="5"/>
  <c r="BC32" i="5"/>
  <c r="BC38" i="5"/>
  <c r="BC19" i="5"/>
  <c r="BC28" i="5"/>
  <c r="BC24" i="5"/>
  <c r="BC18" i="5"/>
  <c r="BC41" i="5"/>
  <c r="BC36" i="5"/>
  <c r="BC4" i="5"/>
  <c r="BC35" i="5"/>
  <c r="BC6" i="5"/>
  <c r="BC25" i="5"/>
  <c r="BC31" i="5"/>
  <c r="BC27" i="5"/>
  <c r="BC39" i="5"/>
  <c r="BC10" i="5"/>
  <c r="BC23" i="5"/>
  <c r="BC22" i="5"/>
  <c r="BC13" i="5"/>
  <c r="BC26" i="5"/>
  <c r="BC42" i="5"/>
  <c r="BD7" i="5"/>
  <c r="BD9" i="5" s="1"/>
  <c r="BE5" i="5"/>
  <c r="BE7" i="5" l="1"/>
  <c r="BE9" i="5" s="1"/>
  <c r="BF5" i="5"/>
  <c r="BD30" i="5"/>
  <c r="BD33" i="5"/>
  <c r="BD41" i="5"/>
  <c r="BD27" i="5"/>
  <c r="BD17" i="5"/>
  <c r="BD29" i="5"/>
  <c r="BD28" i="5"/>
  <c r="BD15" i="5"/>
  <c r="BD4" i="5"/>
  <c r="BD34" i="5"/>
  <c r="BD22" i="5"/>
  <c r="BD18" i="5"/>
  <c r="BD32" i="5"/>
  <c r="BD35" i="5"/>
  <c r="BD26" i="5"/>
  <c r="BD23" i="5"/>
  <c r="BD25" i="5"/>
  <c r="BD21" i="5"/>
  <c r="BD14" i="5"/>
  <c r="BD36" i="5"/>
  <c r="BD20" i="5"/>
  <c r="BD10" i="5"/>
  <c r="BD39" i="5"/>
  <c r="BD38" i="5"/>
  <c r="BD19" i="5"/>
  <c r="BD40" i="5"/>
  <c r="BD6" i="5"/>
  <c r="BD37" i="5"/>
  <c r="BD16" i="5"/>
  <c r="BD24" i="5"/>
  <c r="BD42" i="5"/>
  <c r="BD43" i="5"/>
  <c r="BD13" i="5"/>
  <c r="BD31" i="5"/>
  <c r="BD11" i="5"/>
  <c r="BD12" i="5"/>
  <c r="BF7" i="5" l="1"/>
  <c r="BF9" i="5" s="1"/>
  <c r="BG5" i="5"/>
  <c r="BE35" i="5"/>
  <c r="BE21" i="5"/>
  <c r="BE17" i="5"/>
  <c r="BE34" i="5"/>
  <c r="BE43" i="5"/>
  <c r="BE10" i="5"/>
  <c r="BE25" i="5"/>
  <c r="BE22" i="5"/>
  <c r="BE6" i="5"/>
  <c r="BE23" i="5"/>
  <c r="BE37" i="5"/>
  <c r="BE38" i="5"/>
  <c r="BE16" i="5"/>
  <c r="BE28" i="5"/>
  <c r="BE39" i="5"/>
  <c r="BE29" i="5"/>
  <c r="BE13" i="5"/>
  <c r="BE27" i="5"/>
  <c r="BE20" i="5"/>
  <c r="BE32" i="5"/>
  <c r="BE30" i="5"/>
  <c r="BE41" i="5"/>
  <c r="BE24" i="5"/>
  <c r="BE11" i="5"/>
  <c r="BE14" i="5"/>
  <c r="BE40" i="5"/>
  <c r="BE42" i="5"/>
  <c r="BE18" i="5"/>
  <c r="BE36" i="5"/>
  <c r="BE19" i="5"/>
  <c r="BE15" i="5"/>
  <c r="BE12" i="5"/>
  <c r="BE4" i="5"/>
  <c r="BE33" i="5"/>
  <c r="BE26" i="5"/>
  <c r="BE31" i="5"/>
  <c r="BH5" i="5" l="1"/>
  <c r="BG7" i="5"/>
  <c r="BG9" i="5" s="1"/>
  <c r="BF37" i="5"/>
  <c r="BF25" i="5"/>
  <c r="BF13" i="5"/>
  <c r="BF34" i="5"/>
  <c r="BF4" i="5"/>
  <c r="BF27" i="5"/>
  <c r="BF30" i="5"/>
  <c r="BF28" i="5"/>
  <c r="BF17" i="5"/>
  <c r="BF15" i="5"/>
  <c r="BF39" i="5"/>
  <c r="BF33" i="5"/>
  <c r="BF11" i="5"/>
  <c r="BF21" i="5"/>
  <c r="BF32" i="5"/>
  <c r="BF20" i="5"/>
  <c r="BF40" i="5"/>
  <c r="BF31" i="5"/>
  <c r="BF10" i="5"/>
  <c r="BF24" i="5"/>
  <c r="BF36" i="5"/>
  <c r="BF23" i="5"/>
  <c r="BF18" i="5"/>
  <c r="BF43" i="5"/>
  <c r="BF22" i="5"/>
  <c r="BF6" i="5"/>
  <c r="BF41" i="5"/>
  <c r="BF38" i="5"/>
  <c r="BF16" i="5"/>
  <c r="BF29" i="5"/>
  <c r="BF42" i="5"/>
  <c r="BF14" i="5"/>
  <c r="BF12" i="5"/>
  <c r="BF35" i="5"/>
  <c r="BF26" i="5"/>
  <c r="BF19" i="5"/>
  <c r="BG36" i="5" l="1"/>
  <c r="BG23" i="5"/>
  <c r="BG22" i="5"/>
  <c r="BG29" i="5"/>
  <c r="BG14" i="5"/>
  <c r="BG26" i="5"/>
  <c r="BG41" i="5"/>
  <c r="BG32" i="5"/>
  <c r="BG43" i="5"/>
  <c r="BG11" i="5"/>
  <c r="BG42" i="5"/>
  <c r="BG13" i="5"/>
  <c r="BG33" i="5"/>
  <c r="BG12" i="5"/>
  <c r="BG38" i="5"/>
  <c r="BG34" i="5"/>
  <c r="BG18" i="5"/>
  <c r="BG6" i="5"/>
  <c r="BG30" i="5"/>
  <c r="BG35" i="5"/>
  <c r="BG37" i="5"/>
  <c r="BG40" i="5"/>
  <c r="BG4" i="5"/>
  <c r="BG31" i="5"/>
  <c r="BG24" i="5"/>
  <c r="BG28" i="5"/>
  <c r="BG16" i="5"/>
  <c r="BG20" i="5"/>
  <c r="BG17" i="5"/>
  <c r="BG39" i="5"/>
  <c r="BG27" i="5"/>
  <c r="BG10" i="5"/>
  <c r="BG19" i="5"/>
  <c r="BG25" i="5"/>
  <c r="BG15" i="5"/>
  <c r="BG21" i="5"/>
  <c r="BI5" i="5"/>
  <c r="BH7" i="5"/>
  <c r="BH9" i="5" s="1"/>
  <c r="BJ5" i="5" l="1"/>
  <c r="BI7" i="5"/>
  <c r="BI9" i="5" s="1"/>
  <c r="BH42" i="5"/>
  <c r="BH14" i="5"/>
  <c r="BH11" i="5"/>
  <c r="BH16" i="5"/>
  <c r="BH12" i="5"/>
  <c r="BH34" i="5"/>
  <c r="BH33" i="5"/>
  <c r="BH38" i="5"/>
  <c r="BH26" i="5"/>
  <c r="BH13" i="5"/>
  <c r="BH20" i="5"/>
  <c r="BH24" i="5"/>
  <c r="BH35" i="5"/>
  <c r="BH23" i="5"/>
  <c r="BH15" i="5"/>
  <c r="BH36" i="5"/>
  <c r="BH37" i="5"/>
  <c r="BH28" i="5"/>
  <c r="BH32" i="5"/>
  <c r="BH25" i="5"/>
  <c r="BH10" i="5"/>
  <c r="BH31" i="5"/>
  <c r="BH21" i="5"/>
  <c r="BH19" i="5"/>
  <c r="BH27" i="5"/>
  <c r="BH4" i="5"/>
  <c r="BH43" i="5"/>
  <c r="BH39" i="5"/>
  <c r="BH18" i="5"/>
  <c r="BH41" i="5"/>
  <c r="BH17" i="5"/>
  <c r="BH30" i="5"/>
  <c r="BH29" i="5"/>
  <c r="BH40" i="5"/>
  <c r="BH6" i="5"/>
  <c r="BH22" i="5"/>
  <c r="BI40" i="5" l="1"/>
  <c r="BI13" i="5"/>
  <c r="BI4" i="5"/>
  <c r="BI20" i="5"/>
  <c r="BI32" i="5"/>
  <c r="BI26" i="5"/>
  <c r="BI18" i="5"/>
  <c r="BI22" i="5"/>
  <c r="BI25" i="5"/>
  <c r="BI42" i="5"/>
  <c r="BI10" i="5"/>
  <c r="BI21" i="5"/>
  <c r="BI34" i="5"/>
  <c r="BI15" i="5"/>
  <c r="BI12" i="5"/>
  <c r="BI29" i="5"/>
  <c r="BI39" i="5"/>
  <c r="BI28" i="5"/>
  <c r="BI41" i="5"/>
  <c r="BI11" i="5"/>
  <c r="BI27" i="5"/>
  <c r="BI35" i="5"/>
  <c r="BI30" i="5"/>
  <c r="BI23" i="5"/>
  <c r="BI24" i="5"/>
  <c r="BI36" i="5"/>
  <c r="BI16" i="5"/>
  <c r="BI6" i="5"/>
  <c r="BI31" i="5"/>
  <c r="BI37" i="5"/>
  <c r="BI38" i="5"/>
  <c r="BI17" i="5"/>
  <c r="BI19" i="5"/>
  <c r="BI43" i="5"/>
  <c r="BI14" i="5"/>
  <c r="BI33" i="5"/>
  <c r="BJ7" i="5"/>
  <c r="BJ9" i="5" s="1"/>
  <c r="BK5" i="5"/>
  <c r="BK7" i="5" l="1"/>
  <c r="BK9" i="5" s="1"/>
  <c r="BL5" i="5"/>
  <c r="BJ42" i="5"/>
  <c r="BJ37" i="5"/>
  <c r="BJ30" i="5"/>
  <c r="BJ18" i="5"/>
  <c r="BJ27" i="5"/>
  <c r="BJ17" i="5"/>
  <c r="BJ26" i="5"/>
  <c r="BJ21" i="5"/>
  <c r="BJ28" i="5"/>
  <c r="BJ35" i="5"/>
  <c r="BJ11" i="5"/>
  <c r="BJ41" i="5"/>
  <c r="BJ36" i="5"/>
  <c r="BJ43" i="5"/>
  <c r="BJ24" i="5"/>
  <c r="BJ29" i="5"/>
  <c r="BJ25" i="5"/>
  <c r="BJ38" i="5"/>
  <c r="BJ33" i="5"/>
  <c r="BJ4" i="5"/>
  <c r="BJ14" i="5"/>
  <c r="BJ6" i="5"/>
  <c r="BJ10" i="5"/>
  <c r="BJ16" i="5"/>
  <c r="BJ15" i="5"/>
  <c r="BJ31" i="5"/>
  <c r="BJ19" i="5"/>
  <c r="BJ23" i="5"/>
  <c r="BJ39" i="5"/>
  <c r="BJ22" i="5"/>
  <c r="BJ13" i="5"/>
  <c r="BJ32" i="5"/>
  <c r="BJ12" i="5"/>
  <c r="BJ34" i="5"/>
  <c r="BJ40" i="5"/>
  <c r="BJ20" i="5"/>
  <c r="BM5" i="5" l="1"/>
  <c r="BL7" i="5"/>
  <c r="BL9" i="5" s="1"/>
  <c r="BK35" i="5"/>
  <c r="BK37" i="5"/>
  <c r="BK13" i="5"/>
  <c r="BK29" i="5"/>
  <c r="BK41" i="5"/>
  <c r="BK15" i="5"/>
  <c r="BK32" i="5"/>
  <c r="BK43" i="5"/>
  <c r="BK27" i="5"/>
  <c r="BK14" i="5"/>
  <c r="BK22" i="5"/>
  <c r="BK39" i="5"/>
  <c r="BK24" i="5"/>
  <c r="BK6" i="5"/>
  <c r="BK42" i="5"/>
  <c r="BK38" i="5"/>
  <c r="BK30" i="5"/>
  <c r="BK12" i="5"/>
  <c r="BK20" i="5"/>
  <c r="BK4" i="5"/>
  <c r="BK16" i="5"/>
  <c r="BK18" i="5"/>
  <c r="BK25" i="5"/>
  <c r="BK19" i="5"/>
  <c r="BK21" i="5"/>
  <c r="BK23" i="5"/>
  <c r="BK36" i="5"/>
  <c r="BK31" i="5"/>
  <c r="BK17" i="5"/>
  <c r="BK11" i="5"/>
  <c r="BK33" i="5"/>
  <c r="BK34" i="5"/>
  <c r="BK26" i="5"/>
  <c r="BK40" i="5"/>
  <c r="BK10" i="5"/>
  <c r="BK28" i="5"/>
  <c r="BL37" i="5" l="1"/>
  <c r="BL21" i="5"/>
  <c r="BL24" i="5"/>
  <c r="BL32" i="5"/>
  <c r="BL25" i="5"/>
  <c r="BL34" i="5"/>
  <c r="BL17" i="5"/>
  <c r="BL42" i="5"/>
  <c r="BL31" i="5"/>
  <c r="BL23" i="5"/>
  <c r="BL16" i="5"/>
  <c r="BL13" i="5"/>
  <c r="BL22" i="5"/>
  <c r="BL4" i="5"/>
  <c r="BL26" i="5"/>
  <c r="BL30" i="5"/>
  <c r="BL27" i="5"/>
  <c r="BL29" i="5"/>
  <c r="BL39" i="5"/>
  <c r="BL11" i="5"/>
  <c r="BL40" i="5"/>
  <c r="BL20" i="5"/>
  <c r="BL33" i="5"/>
  <c r="BL6" i="5"/>
  <c r="BL38" i="5"/>
  <c r="BL18" i="5"/>
  <c r="BL41" i="5"/>
  <c r="BL15" i="5"/>
  <c r="BL28" i="5"/>
  <c r="BL12" i="5"/>
  <c r="BL43" i="5"/>
  <c r="BL14" i="5"/>
  <c r="BL36" i="5"/>
  <c r="BL35" i="5"/>
  <c r="BL19" i="5"/>
  <c r="BL10" i="5"/>
  <c r="BM7" i="5"/>
  <c r="BM9" i="5" s="1"/>
  <c r="BN5" i="5"/>
  <c r="BM43" i="5" l="1"/>
  <c r="BM42" i="5"/>
  <c r="BM18" i="5"/>
  <c r="BM37" i="5"/>
  <c r="BM15" i="5"/>
  <c r="BM12" i="5"/>
  <c r="BM13" i="5"/>
  <c r="BM4" i="5"/>
  <c r="BM32" i="5"/>
  <c r="BM11" i="5"/>
  <c r="BM35" i="5"/>
  <c r="BM21" i="5"/>
  <c r="BM27" i="5"/>
  <c r="BM41" i="5"/>
  <c r="BM14" i="5"/>
  <c r="BM25" i="5"/>
  <c r="BM19" i="5"/>
  <c r="BM23" i="5"/>
  <c r="BM33" i="5"/>
  <c r="BM30" i="5"/>
  <c r="BM34" i="5"/>
  <c r="BM16" i="5"/>
  <c r="BM10" i="5"/>
  <c r="BM38" i="5"/>
  <c r="BM17" i="5"/>
  <c r="BM39" i="5"/>
  <c r="BM6" i="5"/>
  <c r="BM31" i="5"/>
  <c r="BM29" i="5"/>
  <c r="BM28" i="5"/>
  <c r="BM36" i="5"/>
  <c r="BM20" i="5"/>
  <c r="BM24" i="5"/>
  <c r="BM40" i="5"/>
  <c r="BM22" i="5"/>
  <c r="BM26" i="5"/>
  <c r="BN7" i="5"/>
  <c r="BN9" i="5" s="1"/>
  <c r="BO5" i="5"/>
  <c r="BO7" i="5" l="1"/>
  <c r="BO9" i="5" s="1"/>
  <c r="BP5" i="5"/>
  <c r="BN35" i="5"/>
  <c r="BN43" i="5"/>
  <c r="BN20" i="5"/>
  <c r="BN26" i="5"/>
  <c r="BN27" i="5"/>
  <c r="BN21" i="5"/>
  <c r="BN10" i="5"/>
  <c r="BN34" i="5"/>
  <c r="BN40" i="5"/>
  <c r="BN4" i="5"/>
  <c r="BN37" i="5"/>
  <c r="BN30" i="5"/>
  <c r="BN18" i="5"/>
  <c r="BN14" i="5"/>
  <c r="BN13" i="5"/>
  <c r="BN31" i="5"/>
  <c r="BN38" i="5"/>
  <c r="BN25" i="5"/>
  <c r="BN16" i="5"/>
  <c r="BN42" i="5"/>
  <c r="BN29" i="5"/>
  <c r="BN23" i="5"/>
  <c r="BN17" i="5"/>
  <c r="BN39" i="5"/>
  <c r="BN33" i="5"/>
  <c r="BN19" i="5"/>
  <c r="BN36" i="5"/>
  <c r="BN12" i="5"/>
  <c r="BN24" i="5"/>
  <c r="BN28" i="5"/>
  <c r="BN11" i="5"/>
  <c r="BN6" i="5"/>
  <c r="BN15" i="5"/>
  <c r="BN32" i="5"/>
  <c r="BN22" i="5"/>
  <c r="BN41" i="5"/>
  <c r="BQ5" i="5" l="1"/>
  <c r="BP7" i="5"/>
  <c r="BP9" i="5" s="1"/>
  <c r="BO29" i="5"/>
  <c r="BO15" i="5"/>
  <c r="BO14" i="5"/>
  <c r="BO31" i="5"/>
  <c r="BO21" i="5"/>
  <c r="BO6" i="5"/>
  <c r="BO11" i="5"/>
  <c r="BO28" i="5"/>
  <c r="BO36" i="5"/>
  <c r="BO22" i="5"/>
  <c r="BO10" i="5"/>
  <c r="BO25" i="5"/>
  <c r="BO39" i="5"/>
  <c r="BO35" i="5"/>
  <c r="BO34" i="5"/>
  <c r="BO43" i="5"/>
  <c r="BO16" i="5"/>
  <c r="BO33" i="5"/>
  <c r="BO20" i="5"/>
  <c r="BO32" i="5"/>
  <c r="BO19" i="5"/>
  <c r="BO13" i="5"/>
  <c r="BO37" i="5"/>
  <c r="BO27" i="5"/>
  <c r="BO24" i="5"/>
  <c r="BO18" i="5"/>
  <c r="BO30" i="5"/>
  <c r="BO12" i="5"/>
  <c r="BO41" i="5"/>
  <c r="BO17" i="5"/>
  <c r="BO38" i="5"/>
  <c r="BO23" i="5"/>
  <c r="BO40" i="5"/>
  <c r="BO26" i="5"/>
  <c r="BO42" i="5"/>
  <c r="BO4" i="5"/>
  <c r="BP35" i="5" l="1"/>
  <c r="BP21" i="5"/>
  <c r="BP16" i="5"/>
  <c r="BP19" i="5"/>
  <c r="BP25" i="5"/>
  <c r="BP20" i="5"/>
  <c r="BP43" i="5"/>
  <c r="BP4" i="5"/>
  <c r="BP39" i="5"/>
  <c r="BP27" i="5"/>
  <c r="BP22" i="5"/>
  <c r="BP36" i="5"/>
  <c r="BP42" i="5"/>
  <c r="BP6" i="5"/>
  <c r="BP31" i="5"/>
  <c r="BP34" i="5"/>
  <c r="BP13" i="5"/>
  <c r="BP41" i="5"/>
  <c r="BP28" i="5"/>
  <c r="BP40" i="5"/>
  <c r="BP38" i="5"/>
  <c r="BP37" i="5"/>
  <c r="BP30" i="5"/>
  <c r="BP26" i="5"/>
  <c r="BP32" i="5"/>
  <c r="BP10" i="5"/>
  <c r="BP12" i="5"/>
  <c r="BP14" i="5"/>
  <c r="BP11" i="5"/>
  <c r="BP33" i="5"/>
  <c r="BP24" i="5"/>
  <c r="BP23" i="5"/>
  <c r="BP18" i="5"/>
  <c r="BP15" i="5"/>
  <c r="BP29" i="5"/>
  <c r="BP17" i="5"/>
  <c r="BQ7" i="5"/>
  <c r="BQ9" i="5" s="1"/>
  <c r="BR5" i="5"/>
  <c r="BQ37" i="5" l="1"/>
  <c r="BQ25" i="5"/>
  <c r="BQ15" i="5"/>
  <c r="BQ13" i="5"/>
  <c r="BQ40" i="5"/>
  <c r="BQ18" i="5"/>
  <c r="BQ24" i="5"/>
  <c r="BQ4" i="5"/>
  <c r="BQ41" i="5"/>
  <c r="BQ23" i="5"/>
  <c r="BQ14" i="5"/>
  <c r="BQ36" i="5"/>
  <c r="BQ20" i="5"/>
  <c r="BQ17" i="5"/>
  <c r="BQ42" i="5"/>
  <c r="BQ28" i="5"/>
  <c r="BQ16" i="5"/>
  <c r="BQ27" i="5"/>
  <c r="BQ34" i="5"/>
  <c r="BQ10" i="5"/>
  <c r="BQ29" i="5"/>
  <c r="BQ30" i="5"/>
  <c r="BQ33" i="5"/>
  <c r="BQ43" i="5"/>
  <c r="BQ39" i="5"/>
  <c r="BQ6" i="5"/>
  <c r="BQ32" i="5"/>
  <c r="BQ19" i="5"/>
  <c r="BQ38" i="5"/>
  <c r="BQ11" i="5"/>
  <c r="BQ31" i="5"/>
  <c r="BQ22" i="5"/>
  <c r="BQ35" i="5"/>
  <c r="BQ26" i="5"/>
  <c r="BQ12" i="5"/>
  <c r="BQ21" i="5"/>
  <c r="BR7" i="5"/>
  <c r="BR9" i="5" s="1"/>
  <c r="BS5" i="5"/>
  <c r="BR34" i="5" l="1"/>
  <c r="BR4" i="5"/>
  <c r="BR15" i="5"/>
  <c r="BR30" i="5"/>
  <c r="BR6" i="5"/>
  <c r="BR11" i="5"/>
  <c r="BR20" i="5"/>
  <c r="BR12" i="5"/>
  <c r="BR33" i="5"/>
  <c r="BR42" i="5"/>
  <c r="BR38" i="5"/>
  <c r="BR35" i="5"/>
  <c r="BR25" i="5"/>
  <c r="BR39" i="5"/>
  <c r="BR41" i="5"/>
  <c r="BR28" i="5"/>
  <c r="BR26" i="5"/>
  <c r="BR37" i="5"/>
  <c r="BR13" i="5"/>
  <c r="BR23" i="5"/>
  <c r="BR19" i="5"/>
  <c r="BR21" i="5"/>
  <c r="BR40" i="5"/>
  <c r="BR22" i="5"/>
  <c r="BR14" i="5"/>
  <c r="BR43" i="5"/>
  <c r="BR31" i="5"/>
  <c r="BR24" i="5"/>
  <c r="BR10" i="5"/>
  <c r="BR18" i="5"/>
  <c r="BR29" i="5"/>
  <c r="BR17" i="5"/>
  <c r="BR36" i="5"/>
  <c r="BR32" i="5"/>
  <c r="BR27" i="5"/>
  <c r="BR16" i="5"/>
  <c r="BS7" i="5"/>
  <c r="BS9" i="5" s="1"/>
  <c r="BT5" i="5"/>
  <c r="BU5" i="5" l="1"/>
  <c r="BT7" i="5"/>
  <c r="BT9" i="5" s="1"/>
  <c r="BS32" i="5"/>
  <c r="BS10" i="5"/>
  <c r="BS11" i="5"/>
  <c r="BS14" i="5"/>
  <c r="BS12" i="5"/>
  <c r="BS17" i="5"/>
  <c r="BS23" i="5"/>
  <c r="BS34" i="5"/>
  <c r="BS20" i="5"/>
  <c r="BS30" i="5"/>
  <c r="BS21" i="5"/>
  <c r="BS13" i="5"/>
  <c r="BS37" i="5"/>
  <c r="BS25" i="5"/>
  <c r="BS15" i="5"/>
  <c r="BS43" i="5"/>
  <c r="BS27" i="5"/>
  <c r="BS36" i="5"/>
  <c r="BS28" i="5"/>
  <c r="BS19" i="5"/>
  <c r="BS38" i="5"/>
  <c r="BS35" i="5"/>
  <c r="BS18" i="5"/>
  <c r="BS26" i="5"/>
  <c r="BS39" i="5"/>
  <c r="BS16" i="5"/>
  <c r="BS24" i="5"/>
  <c r="BS22" i="5"/>
  <c r="BS40" i="5"/>
  <c r="BS42" i="5"/>
  <c r="BS29" i="5"/>
  <c r="BS41" i="5"/>
  <c r="BS31" i="5"/>
  <c r="BS33" i="5"/>
  <c r="BS6" i="5"/>
  <c r="BS4" i="5"/>
  <c r="BT36" i="5" l="1"/>
  <c r="BT22" i="5"/>
  <c r="BT35" i="5"/>
  <c r="BT38" i="5"/>
  <c r="BT14" i="5"/>
  <c r="BT13" i="5"/>
  <c r="BT26" i="5"/>
  <c r="BT12" i="5"/>
  <c r="BT39" i="5"/>
  <c r="BT27" i="5"/>
  <c r="BT19" i="5"/>
  <c r="BT33" i="5"/>
  <c r="BT6" i="5"/>
  <c r="BT20" i="5"/>
  <c r="BT17" i="5"/>
  <c r="BT11" i="5"/>
  <c r="BT25" i="5"/>
  <c r="BT15" i="5"/>
  <c r="BT41" i="5"/>
  <c r="BT30" i="5"/>
  <c r="BT18" i="5"/>
  <c r="BT42" i="5"/>
  <c r="BT4" i="5"/>
  <c r="BT16" i="5"/>
  <c r="BT37" i="5"/>
  <c r="BT21" i="5"/>
  <c r="BT32" i="5"/>
  <c r="BT10" i="5"/>
  <c r="BT24" i="5"/>
  <c r="BT29" i="5"/>
  <c r="BT23" i="5"/>
  <c r="BT31" i="5"/>
  <c r="BT43" i="5"/>
  <c r="BT40" i="5"/>
  <c r="BT34" i="5"/>
  <c r="BT28" i="5"/>
  <c r="BV5" i="5"/>
  <c r="BU7" i="5"/>
  <c r="BU9" i="5" s="1"/>
  <c r="BV7" i="5" l="1"/>
  <c r="BV9" i="5" s="1"/>
  <c r="BW5" i="5"/>
  <c r="BU32" i="5"/>
  <c r="BU22" i="5"/>
  <c r="BU42" i="5"/>
  <c r="BU34" i="5"/>
  <c r="BU13" i="5"/>
  <c r="BU11" i="5"/>
  <c r="BU36" i="5"/>
  <c r="BU12" i="5"/>
  <c r="BU25" i="5"/>
  <c r="BU4" i="5"/>
  <c r="BU30" i="5"/>
  <c r="BU29" i="5"/>
  <c r="BU33" i="5"/>
  <c r="BU38" i="5"/>
  <c r="BU15" i="5"/>
  <c r="BU14" i="5"/>
  <c r="BU35" i="5"/>
  <c r="BU10" i="5"/>
  <c r="BU6" i="5"/>
  <c r="BU16" i="5"/>
  <c r="BU40" i="5"/>
  <c r="BU31" i="5"/>
  <c r="BU23" i="5"/>
  <c r="BU27" i="5"/>
  <c r="BU39" i="5"/>
  <c r="BU21" i="5"/>
  <c r="BU28" i="5"/>
  <c r="BU18" i="5"/>
  <c r="BU37" i="5"/>
  <c r="BU24" i="5"/>
  <c r="BU26" i="5"/>
  <c r="BU17" i="5"/>
  <c r="BU43" i="5"/>
  <c r="BU20" i="5"/>
  <c r="BU19" i="5"/>
  <c r="BU41" i="5"/>
  <c r="BW7" i="5" l="1"/>
  <c r="BW9" i="5" s="1"/>
  <c r="BX5" i="5"/>
  <c r="BV26" i="5"/>
  <c r="BV14" i="5"/>
  <c r="BV4" i="5"/>
  <c r="BV39" i="5"/>
  <c r="BV20" i="5"/>
  <c r="BV43" i="5"/>
  <c r="BV13" i="5"/>
  <c r="BV6" i="5"/>
  <c r="BV27" i="5"/>
  <c r="BV40" i="5"/>
  <c r="BV31" i="5"/>
  <c r="BV23" i="5"/>
  <c r="BV11" i="5"/>
  <c r="BV29" i="5"/>
  <c r="BV22" i="5"/>
  <c r="BV36" i="5"/>
  <c r="BV10" i="5"/>
  <c r="BV42" i="5"/>
  <c r="BV18" i="5"/>
  <c r="BV21" i="5"/>
  <c r="BV30" i="5"/>
  <c r="BV25" i="5"/>
  <c r="BV34" i="5"/>
  <c r="BV28" i="5"/>
  <c r="BV33" i="5"/>
  <c r="BV17" i="5"/>
  <c r="BV32" i="5"/>
  <c r="BV16" i="5"/>
  <c r="BV35" i="5"/>
  <c r="BV41" i="5"/>
  <c r="BV37" i="5"/>
  <c r="BV19" i="5"/>
  <c r="BV12" i="5"/>
  <c r="BV38" i="5"/>
  <c r="BV15" i="5"/>
  <c r="BV24" i="5"/>
  <c r="BX7" i="5" l="1"/>
  <c r="BX9" i="5" s="1"/>
  <c r="BY5" i="5"/>
  <c r="BW36" i="5"/>
  <c r="BW17" i="5"/>
  <c r="BW14" i="5"/>
  <c r="BW18" i="5"/>
  <c r="BW20" i="5"/>
  <c r="BW35" i="5"/>
  <c r="BW32" i="5"/>
  <c r="BW38" i="5"/>
  <c r="BW16" i="5"/>
  <c r="BW23" i="5"/>
  <c r="BW26" i="5"/>
  <c r="BW10" i="5"/>
  <c r="BW22" i="5"/>
  <c r="BW13" i="5"/>
  <c r="BW11" i="5"/>
  <c r="BW40" i="5"/>
  <c r="BW39" i="5"/>
  <c r="BW15" i="5"/>
  <c r="BW37" i="5"/>
  <c r="BW28" i="5"/>
  <c r="BW41" i="5"/>
  <c r="BW29" i="5"/>
  <c r="BW42" i="5"/>
  <c r="BW30" i="5"/>
  <c r="BW6" i="5"/>
  <c r="BW27" i="5"/>
  <c r="BW19" i="5"/>
  <c r="BW25" i="5"/>
  <c r="BW12" i="5"/>
  <c r="BW43" i="5"/>
  <c r="BW33" i="5"/>
  <c r="BW24" i="5"/>
  <c r="BW34" i="5"/>
  <c r="BW31" i="5"/>
  <c r="BW4" i="5"/>
  <c r="BW21" i="5"/>
  <c r="BY7" i="5" l="1"/>
  <c r="BY9" i="5" s="1"/>
  <c r="BZ5" i="5"/>
  <c r="BX23" i="5"/>
  <c r="BX20" i="5"/>
  <c r="BX16" i="5"/>
  <c r="BX6" i="5"/>
  <c r="BX38" i="5"/>
  <c r="BX33" i="5"/>
  <c r="BX31" i="5"/>
  <c r="BX32" i="5"/>
  <c r="BX35" i="5"/>
  <c r="BX43" i="5"/>
  <c r="BX34" i="5"/>
  <c r="BX18" i="5"/>
  <c r="BX42" i="5"/>
  <c r="BX13" i="5"/>
  <c r="BX29" i="5"/>
  <c r="BX41" i="5"/>
  <c r="BX25" i="5"/>
  <c r="BX14" i="5"/>
  <c r="BX28" i="5"/>
  <c r="BX30" i="5"/>
  <c r="BX19" i="5"/>
  <c r="BX11" i="5"/>
  <c r="BX40" i="5"/>
  <c r="BX24" i="5"/>
  <c r="BX21" i="5"/>
  <c r="BX22" i="5"/>
  <c r="BX4" i="5"/>
  <c r="BX36" i="5"/>
  <c r="BX17" i="5"/>
  <c r="BX39" i="5"/>
  <c r="BX27" i="5"/>
  <c r="BX37" i="5"/>
  <c r="BX12" i="5"/>
  <c r="BX15" i="5"/>
  <c r="BX26" i="5"/>
  <c r="BX10" i="5"/>
  <c r="CA5" i="5" l="1"/>
  <c r="BZ7" i="5"/>
  <c r="BZ9" i="5" s="1"/>
  <c r="BY19" i="5"/>
  <c r="BY12" i="5"/>
  <c r="BY14" i="5"/>
  <c r="BY34" i="5"/>
  <c r="BY17" i="5"/>
  <c r="BY24" i="5"/>
  <c r="BY41" i="5"/>
  <c r="BY23" i="5"/>
  <c r="BY10" i="5"/>
  <c r="BY29" i="5"/>
  <c r="BY27" i="5"/>
  <c r="BY38" i="5"/>
  <c r="BY11" i="5"/>
  <c r="BY35" i="5"/>
  <c r="BY13" i="5"/>
  <c r="BY30" i="5"/>
  <c r="BY32" i="5"/>
  <c r="BY4" i="5"/>
  <c r="BY25" i="5"/>
  <c r="BY28" i="5"/>
  <c r="BY21" i="5"/>
  <c r="BY42" i="5"/>
  <c r="BY6" i="5"/>
  <c r="BY40" i="5"/>
  <c r="BY39" i="5"/>
  <c r="BY43" i="5"/>
  <c r="BY18" i="5"/>
  <c r="BY31" i="5"/>
  <c r="BY36" i="5"/>
  <c r="BY33" i="5"/>
  <c r="BY37" i="5"/>
  <c r="BY20" i="5"/>
  <c r="BY22" i="5"/>
  <c r="BY15" i="5"/>
  <c r="BY26" i="5"/>
  <c r="BY16" i="5"/>
  <c r="BZ22" i="5" l="1"/>
  <c r="BZ25" i="5"/>
  <c r="BZ17" i="5"/>
  <c r="BZ30" i="5"/>
  <c r="BZ37" i="5"/>
  <c r="BZ33" i="5"/>
  <c r="BZ4" i="5"/>
  <c r="BZ31" i="5"/>
  <c r="BZ6" i="5"/>
  <c r="BZ36" i="5"/>
  <c r="BZ39" i="5"/>
  <c r="BZ42" i="5"/>
  <c r="BZ29" i="5"/>
  <c r="BZ13" i="5"/>
  <c r="BZ16" i="5"/>
  <c r="BZ14" i="5"/>
  <c r="BZ35" i="5"/>
  <c r="BZ38" i="5"/>
  <c r="BZ11" i="5"/>
  <c r="BZ28" i="5"/>
  <c r="BZ41" i="5"/>
  <c r="BZ21" i="5"/>
  <c r="BZ43" i="5"/>
  <c r="BZ26" i="5"/>
  <c r="BZ24" i="5"/>
  <c r="BZ23" i="5"/>
  <c r="BZ27" i="5"/>
  <c r="BZ12" i="5"/>
  <c r="BZ40" i="5"/>
  <c r="BZ34" i="5"/>
  <c r="BZ18" i="5"/>
  <c r="BZ32" i="5"/>
  <c r="BZ15" i="5"/>
  <c r="BZ19" i="5"/>
  <c r="BZ10" i="5"/>
  <c r="BZ20" i="5"/>
  <c r="CB5" i="5"/>
  <c r="CA7" i="5"/>
  <c r="CA9" i="5" s="1"/>
  <c r="CC5" i="5" l="1"/>
  <c r="CB7" i="5"/>
  <c r="CB9" i="5" s="1"/>
  <c r="CA28" i="5"/>
  <c r="CA35" i="5"/>
  <c r="CA24" i="5"/>
  <c r="CA15" i="5"/>
  <c r="CA14" i="5"/>
  <c r="CA22" i="5"/>
  <c r="CA17" i="5"/>
  <c r="CA12" i="5"/>
  <c r="CA13" i="5"/>
  <c r="CA43" i="5"/>
  <c r="CA30" i="5"/>
  <c r="CA34" i="5"/>
  <c r="CA33" i="5"/>
  <c r="CA37" i="5"/>
  <c r="CA41" i="5"/>
  <c r="CA36" i="5"/>
  <c r="CA31" i="5"/>
  <c r="CA10" i="5"/>
  <c r="CA39" i="5"/>
  <c r="CA4" i="5"/>
  <c r="CA38" i="5"/>
  <c r="CA21" i="5"/>
  <c r="CA42" i="5"/>
  <c r="CA40" i="5"/>
  <c r="CA11" i="5"/>
  <c r="CA18" i="5"/>
  <c r="CA20" i="5"/>
  <c r="CA16" i="5"/>
  <c r="CA6" i="5"/>
  <c r="CA29" i="5"/>
  <c r="CA32" i="5"/>
  <c r="CA23" i="5"/>
  <c r="CA26" i="5"/>
  <c r="CA27" i="5"/>
  <c r="CA19" i="5"/>
  <c r="CA25" i="5"/>
  <c r="CB27" i="5" l="1"/>
  <c r="CB32" i="5"/>
  <c r="CB41" i="5"/>
  <c r="CB20" i="5"/>
  <c r="CB23" i="5"/>
  <c r="CB31" i="5"/>
  <c r="CB11" i="5"/>
  <c r="CB43" i="5"/>
  <c r="CB22" i="5"/>
  <c r="CB37" i="5"/>
  <c r="CB29" i="5"/>
  <c r="CB6" i="5"/>
  <c r="CB17" i="5"/>
  <c r="CB39" i="5"/>
  <c r="CB30" i="5"/>
  <c r="CB18" i="5"/>
  <c r="CB28" i="5"/>
  <c r="CB16" i="5"/>
  <c r="CB36" i="5"/>
  <c r="CB26" i="5"/>
  <c r="CB33" i="5"/>
  <c r="CB4" i="5"/>
  <c r="CB15" i="5"/>
  <c r="CB40" i="5"/>
  <c r="CB42" i="5"/>
  <c r="CB34" i="5"/>
  <c r="CB21" i="5"/>
  <c r="CB24" i="5"/>
  <c r="CB25" i="5"/>
  <c r="CB35" i="5"/>
  <c r="CB19" i="5"/>
  <c r="CB12" i="5"/>
  <c r="CB13" i="5"/>
  <c r="CB10" i="5"/>
  <c r="CB38" i="5"/>
  <c r="CB14" i="5"/>
  <c r="CD5" i="5"/>
  <c r="CC7" i="5"/>
  <c r="CC9" i="5" s="1"/>
  <c r="CD7" i="5" l="1"/>
  <c r="CD9" i="5" s="1"/>
  <c r="CE5" i="5"/>
  <c r="CC43" i="5"/>
  <c r="CC42" i="5"/>
  <c r="CC26" i="5"/>
  <c r="CC12" i="5"/>
  <c r="CC20" i="5"/>
  <c r="CC35" i="5"/>
  <c r="CC24" i="5"/>
  <c r="CC38" i="5"/>
  <c r="CC31" i="5"/>
  <c r="CC27" i="5"/>
  <c r="CC36" i="5"/>
  <c r="CC32" i="5"/>
  <c r="CC37" i="5"/>
  <c r="CC13" i="5"/>
  <c r="CC41" i="5"/>
  <c r="CC10" i="5"/>
  <c r="CC19" i="5"/>
  <c r="CC18" i="5"/>
  <c r="CC33" i="5"/>
  <c r="CC17" i="5"/>
  <c r="CC16" i="5"/>
  <c r="CC4" i="5"/>
  <c r="CC29" i="5"/>
  <c r="CC39" i="5"/>
  <c r="CC11" i="5"/>
  <c r="CC15" i="5"/>
  <c r="CC34" i="5"/>
  <c r="CC23" i="5"/>
  <c r="CC21" i="5"/>
  <c r="CC6" i="5"/>
  <c r="CC25" i="5"/>
  <c r="CC30" i="5"/>
  <c r="CC14" i="5"/>
  <c r="CC22" i="5"/>
  <c r="CC28" i="5"/>
  <c r="CC40" i="5"/>
  <c r="CF5" i="5" l="1"/>
  <c r="CE7" i="5"/>
  <c r="CE9" i="5" s="1"/>
  <c r="CD25" i="5"/>
  <c r="CD34" i="5"/>
  <c r="CD13" i="5"/>
  <c r="CD22" i="5"/>
  <c r="CD29" i="5"/>
  <c r="CD6" i="5"/>
  <c r="CD35" i="5"/>
  <c r="CD28" i="5"/>
  <c r="CD40" i="5"/>
  <c r="CD16" i="5"/>
  <c r="CD26" i="5"/>
  <c r="CD14" i="5"/>
  <c r="CD18" i="5"/>
  <c r="CD23" i="5"/>
  <c r="CD15" i="5"/>
  <c r="CD37" i="5"/>
  <c r="CD39" i="5"/>
  <c r="CD21" i="5"/>
  <c r="CD42" i="5"/>
  <c r="CD41" i="5"/>
  <c r="CD19" i="5"/>
  <c r="CD33" i="5"/>
  <c r="CD30" i="5"/>
  <c r="CD32" i="5"/>
  <c r="CD43" i="5"/>
  <c r="CD27" i="5"/>
  <c r="CD20" i="5"/>
  <c r="CD17" i="5"/>
  <c r="CD10" i="5"/>
  <c r="CD24" i="5"/>
  <c r="CD4" i="5"/>
  <c r="CD11" i="5"/>
  <c r="CD12" i="5"/>
  <c r="CD36" i="5"/>
  <c r="CD31" i="5"/>
  <c r="CD38" i="5"/>
  <c r="CE31" i="5" l="1"/>
  <c r="CE39" i="5"/>
  <c r="CE20" i="5"/>
  <c r="CE40" i="5"/>
  <c r="CE36" i="5"/>
  <c r="CE15" i="5"/>
  <c r="CE6" i="5"/>
  <c r="CE25" i="5"/>
  <c r="CE33" i="5"/>
  <c r="CE26" i="5"/>
  <c r="CE30" i="5"/>
  <c r="CE37" i="5"/>
  <c r="CE22" i="5"/>
  <c r="CE34" i="5"/>
  <c r="CE10" i="5"/>
  <c r="CE12" i="5"/>
  <c r="CE14" i="5"/>
  <c r="CE38" i="5"/>
  <c r="CE18" i="5"/>
  <c r="CE23" i="5"/>
  <c r="CE16" i="5"/>
  <c r="CE21" i="5"/>
  <c r="CE29" i="5"/>
  <c r="CE27" i="5"/>
  <c r="CE17" i="5"/>
  <c r="CE41" i="5"/>
  <c r="CE19" i="5"/>
  <c r="CE42" i="5"/>
  <c r="CE4" i="5"/>
  <c r="CE11" i="5"/>
  <c r="CE32" i="5"/>
  <c r="CE43" i="5"/>
  <c r="CE24" i="5"/>
  <c r="CE13" i="5"/>
  <c r="CE28" i="5"/>
  <c r="CE35" i="5"/>
  <c r="CG5" i="5"/>
  <c r="CF7" i="5"/>
  <c r="CF9" i="5" s="1"/>
  <c r="CH5" i="5" l="1"/>
  <c r="CG7" i="5"/>
  <c r="CG9" i="5" s="1"/>
  <c r="CF25" i="5"/>
  <c r="CF29" i="5"/>
  <c r="CF14" i="5"/>
  <c r="CF31" i="5"/>
  <c r="CF30" i="5"/>
  <c r="CF26" i="5"/>
  <c r="CF41" i="5"/>
  <c r="CF39" i="5"/>
  <c r="CF42" i="5"/>
  <c r="CF10" i="5"/>
  <c r="CF34" i="5"/>
  <c r="CF4" i="5"/>
  <c r="CF23" i="5"/>
  <c r="CF20" i="5"/>
  <c r="CF24" i="5"/>
  <c r="CF43" i="5"/>
  <c r="CF27" i="5"/>
  <c r="CF15" i="5"/>
  <c r="CF32" i="5"/>
  <c r="CF38" i="5"/>
  <c r="CF18" i="5"/>
  <c r="CF12" i="5"/>
  <c r="CF13" i="5"/>
  <c r="CF19" i="5"/>
  <c r="CF40" i="5"/>
  <c r="CF21" i="5"/>
  <c r="CF36" i="5"/>
  <c r="CF22" i="5"/>
  <c r="CF11" i="5"/>
  <c r="CF37" i="5"/>
  <c r="CF17" i="5"/>
  <c r="CF6" i="5"/>
  <c r="CF35" i="5"/>
  <c r="CF16" i="5"/>
  <c r="CF28" i="5"/>
  <c r="CF33" i="5"/>
  <c r="CG25" i="5" l="1"/>
  <c r="CG20" i="5"/>
  <c r="CG15" i="5"/>
  <c r="CG31" i="5"/>
  <c r="CG27" i="5"/>
  <c r="CG41" i="5"/>
  <c r="CG14" i="5"/>
  <c r="CG23" i="5"/>
  <c r="CG32" i="5"/>
  <c r="CG24" i="5"/>
  <c r="CG30" i="5"/>
  <c r="CG18" i="5"/>
  <c r="CG17" i="5"/>
  <c r="CG43" i="5"/>
  <c r="CG13" i="5"/>
  <c r="CG38" i="5"/>
  <c r="CG6" i="5"/>
  <c r="CG21" i="5"/>
  <c r="CG34" i="5"/>
  <c r="CG42" i="5"/>
  <c r="CG16" i="5"/>
  <c r="CG37" i="5"/>
  <c r="CG11" i="5"/>
  <c r="CG19" i="5"/>
  <c r="CG12" i="5"/>
  <c r="CG36" i="5"/>
  <c r="CG39" i="5"/>
  <c r="CG33" i="5"/>
  <c r="CG10" i="5"/>
  <c r="CG35" i="5"/>
  <c r="CG4" i="5"/>
  <c r="CG40" i="5"/>
  <c r="CG29" i="5"/>
  <c r="CG26" i="5"/>
  <c r="CG28" i="5"/>
  <c r="CG22" i="5"/>
  <c r="CH7" i="5"/>
  <c r="CH9" i="5" s="1"/>
  <c r="CI5" i="5"/>
  <c r="CH26" i="5" l="1"/>
  <c r="CH17" i="5"/>
  <c r="CH12" i="5"/>
  <c r="CH36" i="5"/>
  <c r="CH13" i="5"/>
  <c r="CH38" i="5"/>
  <c r="CH20" i="5"/>
  <c r="CH40" i="5"/>
  <c r="CH29" i="5"/>
  <c r="CH35" i="5"/>
  <c r="CH28" i="5"/>
  <c r="CH10" i="5"/>
  <c r="CH21" i="5"/>
  <c r="CH18" i="5"/>
  <c r="CH42" i="5"/>
  <c r="CH24" i="5"/>
  <c r="CH34" i="5"/>
  <c r="CH33" i="5"/>
  <c r="CH23" i="5"/>
  <c r="CH30" i="5"/>
  <c r="CH22" i="5"/>
  <c r="CH39" i="5"/>
  <c r="CH31" i="5"/>
  <c r="CH14" i="5"/>
  <c r="CH43" i="5"/>
  <c r="CH16" i="5"/>
  <c r="CH11" i="5"/>
  <c r="CH19" i="5"/>
  <c r="CH15" i="5"/>
  <c r="CH41" i="5"/>
  <c r="CH27" i="5"/>
  <c r="CH4" i="5"/>
  <c r="CH25" i="5"/>
  <c r="CH6" i="5"/>
  <c r="CH32" i="5"/>
  <c r="CH37" i="5"/>
  <c r="CJ5" i="5"/>
  <c r="CI7" i="5"/>
  <c r="CI9" i="5" s="1"/>
  <c r="CI34" i="5" l="1"/>
  <c r="CI13" i="5"/>
  <c r="CI11" i="5"/>
  <c r="CI42" i="5"/>
  <c r="CI40" i="5"/>
  <c r="CI23" i="5"/>
  <c r="CI4" i="5"/>
  <c r="CI15" i="5"/>
  <c r="CI16" i="5"/>
  <c r="CI38" i="5"/>
  <c r="CI32" i="5"/>
  <c r="CI30" i="5"/>
  <c r="CI19" i="5"/>
  <c r="CI12" i="5"/>
  <c r="CI28" i="5"/>
  <c r="CI14" i="5"/>
  <c r="CI36" i="5"/>
  <c r="CI18" i="5"/>
  <c r="CI37" i="5"/>
  <c r="CI21" i="5"/>
  <c r="CI22" i="5"/>
  <c r="CI41" i="5"/>
  <c r="CI25" i="5"/>
  <c r="CI6" i="5"/>
  <c r="CI33" i="5"/>
  <c r="CI17" i="5"/>
  <c r="CI39" i="5"/>
  <c r="CI24" i="5"/>
  <c r="CI29" i="5"/>
  <c r="CI43" i="5"/>
  <c r="CI26" i="5"/>
  <c r="CI27" i="5"/>
  <c r="CI10" i="5"/>
  <c r="CI35" i="5"/>
  <c r="CI20" i="5"/>
  <c r="CI31" i="5"/>
  <c r="CK5" i="5"/>
  <c r="CJ7" i="5"/>
  <c r="CJ9" i="5" s="1"/>
  <c r="CJ27" i="5" l="1"/>
  <c r="CJ16" i="5"/>
  <c r="CJ42" i="5"/>
  <c r="CJ15" i="5"/>
  <c r="CJ32" i="5"/>
  <c r="CJ43" i="5"/>
  <c r="CJ22" i="5"/>
  <c r="CJ30" i="5"/>
  <c r="CJ24" i="5"/>
  <c r="CJ11" i="5"/>
  <c r="CJ12" i="5"/>
  <c r="CJ34" i="5"/>
  <c r="CJ17" i="5"/>
  <c r="CJ39" i="5"/>
  <c r="CJ38" i="5"/>
  <c r="CJ18" i="5"/>
  <c r="CJ4" i="5"/>
  <c r="CJ13" i="5"/>
  <c r="CJ37" i="5"/>
  <c r="CJ21" i="5"/>
  <c r="CJ33" i="5"/>
  <c r="CJ40" i="5"/>
  <c r="CJ35" i="5"/>
  <c r="CJ10" i="5"/>
  <c r="CJ19" i="5"/>
  <c r="CJ29" i="5"/>
  <c r="CJ28" i="5"/>
  <c r="CJ6" i="5"/>
  <c r="CJ23" i="5"/>
  <c r="CJ36" i="5"/>
  <c r="CJ20" i="5"/>
  <c r="CJ25" i="5"/>
  <c r="CJ14" i="5"/>
  <c r="CJ41" i="5"/>
  <c r="CJ31" i="5"/>
  <c r="CJ26" i="5"/>
  <c r="CK7" i="5"/>
  <c r="CK9" i="5" s="1"/>
  <c r="CL5" i="5"/>
  <c r="CK13" i="5" l="1"/>
  <c r="CK42" i="5"/>
  <c r="CK14" i="5"/>
  <c r="CK43" i="5"/>
  <c r="CK41" i="5"/>
  <c r="CK32" i="5"/>
  <c r="CK20" i="5"/>
  <c r="CK38" i="5"/>
  <c r="CK37" i="5"/>
  <c r="CK11" i="5"/>
  <c r="CK18" i="5"/>
  <c r="CK23" i="5"/>
  <c r="CK40" i="5"/>
  <c r="CK19" i="5"/>
  <c r="CK35" i="5"/>
  <c r="CK21" i="5"/>
  <c r="CK36" i="5"/>
  <c r="CK17" i="5"/>
  <c r="CK22" i="5"/>
  <c r="CK29" i="5"/>
  <c r="CK12" i="5"/>
  <c r="CK26" i="5"/>
  <c r="CK39" i="5"/>
  <c r="CK28" i="5"/>
  <c r="CK16" i="5"/>
  <c r="CK6" i="5"/>
  <c r="CK34" i="5"/>
  <c r="CK30" i="5"/>
  <c r="CK15" i="5"/>
  <c r="CK25" i="5"/>
  <c r="CK24" i="5"/>
  <c r="CK4" i="5"/>
  <c r="CK10" i="5"/>
  <c r="CK33" i="5"/>
  <c r="CK27" i="5"/>
  <c r="CK31" i="5"/>
  <c r="CL7" i="5"/>
  <c r="CL9" i="5" s="1"/>
  <c r="CM5" i="5"/>
  <c r="CN5" i="5" l="1"/>
  <c r="CM7" i="5"/>
  <c r="CM9" i="5" s="1"/>
  <c r="CL31" i="5"/>
  <c r="CL26" i="5"/>
  <c r="CL41" i="5"/>
  <c r="CL10" i="5"/>
  <c r="CL6" i="5"/>
  <c r="CL12" i="5"/>
  <c r="CL28" i="5"/>
  <c r="CL25" i="5"/>
  <c r="CL11" i="5"/>
  <c r="CL18" i="5"/>
  <c r="CL36" i="5"/>
  <c r="CL29" i="5"/>
  <c r="CL22" i="5"/>
  <c r="CL23" i="5"/>
  <c r="CL19" i="5"/>
  <c r="CL38" i="5"/>
  <c r="CL37" i="5"/>
  <c r="CL32" i="5"/>
  <c r="CL40" i="5"/>
  <c r="CL33" i="5"/>
  <c r="CL20" i="5"/>
  <c r="CL27" i="5"/>
  <c r="CL39" i="5"/>
  <c r="CL42" i="5"/>
  <c r="CL35" i="5"/>
  <c r="CL14" i="5"/>
  <c r="CL13" i="5"/>
  <c r="CL17" i="5"/>
  <c r="CL30" i="5"/>
  <c r="CL34" i="5"/>
  <c r="CL4" i="5"/>
  <c r="CL16" i="5"/>
  <c r="CL21" i="5"/>
  <c r="CL43" i="5"/>
  <c r="CL24" i="5"/>
  <c r="CL15" i="5"/>
  <c r="CM10" i="5" l="1"/>
  <c r="CM35" i="5"/>
  <c r="CM18" i="5"/>
  <c r="CM27" i="5"/>
  <c r="CM26" i="5"/>
  <c r="CM12" i="5"/>
  <c r="CM4" i="5"/>
  <c r="CM41" i="5"/>
  <c r="CM11" i="5"/>
  <c r="CM39" i="5"/>
  <c r="CM33" i="5"/>
  <c r="CM13" i="5"/>
  <c r="CM21" i="5"/>
  <c r="CM19" i="5"/>
  <c r="CM28" i="5"/>
  <c r="CM43" i="5"/>
  <c r="CM24" i="5"/>
  <c r="CM40" i="5"/>
  <c r="CM15" i="5"/>
  <c r="CM29" i="5"/>
  <c r="CM17" i="5"/>
  <c r="CM31" i="5"/>
  <c r="CM16" i="5"/>
  <c r="CM22" i="5"/>
  <c r="CM23" i="5"/>
  <c r="CM38" i="5"/>
  <c r="CM34" i="5"/>
  <c r="CM6" i="5"/>
  <c r="CM32" i="5"/>
  <c r="CM42" i="5"/>
  <c r="CM36" i="5"/>
  <c r="CM30" i="5"/>
  <c r="CM20" i="5"/>
  <c r="CM14" i="5"/>
  <c r="CM37" i="5"/>
  <c r="CM25" i="5"/>
  <c r="CO5" i="5"/>
  <c r="CN7" i="5"/>
  <c r="CN9" i="5" s="1"/>
  <c r="CN27" i="5" l="1"/>
  <c r="CN10" i="5"/>
  <c r="CN22" i="5"/>
  <c r="CN37" i="5"/>
  <c r="CN6" i="5"/>
  <c r="CN43" i="5"/>
  <c r="CN28" i="5"/>
  <c r="CN14" i="5"/>
  <c r="CN12" i="5"/>
  <c r="CN35" i="5"/>
  <c r="CN11" i="5"/>
  <c r="CN21" i="5"/>
  <c r="CN18" i="5"/>
  <c r="CN4" i="5"/>
  <c r="CN29" i="5"/>
  <c r="CN13" i="5"/>
  <c r="CN23" i="5"/>
  <c r="CN39" i="5"/>
  <c r="CN31" i="5"/>
  <c r="CN38" i="5"/>
  <c r="CN25" i="5"/>
  <c r="CN17" i="5"/>
  <c r="CN15" i="5"/>
  <c r="CN26" i="5"/>
  <c r="CN19" i="5"/>
  <c r="CN41" i="5"/>
  <c r="CN30" i="5"/>
  <c r="CN34" i="5"/>
  <c r="CN40" i="5"/>
  <c r="CN20" i="5"/>
  <c r="CN42" i="5"/>
  <c r="CN36" i="5"/>
  <c r="CN32" i="5"/>
  <c r="CN24" i="5"/>
  <c r="CN16" i="5"/>
  <c r="CN33" i="5"/>
  <c r="CP5" i="5"/>
  <c r="CO7" i="5"/>
  <c r="CO9" i="5" s="1"/>
  <c r="CP7" i="5" l="1"/>
  <c r="CP9" i="5" s="1"/>
  <c r="CQ5" i="5"/>
  <c r="CO13" i="5"/>
  <c r="CO28" i="5"/>
  <c r="CO10" i="5"/>
  <c r="CO26" i="5"/>
  <c r="CO24" i="5"/>
  <c r="CO12" i="5"/>
  <c r="CO36" i="5"/>
  <c r="CO6" i="5"/>
  <c r="CO43" i="5"/>
  <c r="CO33" i="5"/>
  <c r="CO17" i="5"/>
  <c r="CO15" i="5"/>
  <c r="CO42" i="5"/>
  <c r="CO23" i="5"/>
  <c r="CO18" i="5"/>
  <c r="CO37" i="5"/>
  <c r="CO40" i="5"/>
  <c r="CO27" i="5"/>
  <c r="CO30" i="5"/>
  <c r="CO31" i="5"/>
  <c r="CO32" i="5"/>
  <c r="CO4" i="5"/>
  <c r="CO20" i="5"/>
  <c r="CO41" i="5"/>
  <c r="CO21" i="5"/>
  <c r="CO19" i="5"/>
  <c r="CO14" i="5"/>
  <c r="CO35" i="5"/>
  <c r="CO29" i="5"/>
  <c r="CO22" i="5"/>
  <c r="CO16" i="5"/>
  <c r="CO39" i="5"/>
  <c r="CO34" i="5"/>
  <c r="CO38" i="5"/>
  <c r="CO11" i="5"/>
  <c r="CO25" i="5"/>
  <c r="CR5" i="5" l="1"/>
  <c r="CQ7" i="5"/>
  <c r="CQ9" i="5" s="1"/>
  <c r="CP18" i="5"/>
  <c r="CP32" i="5"/>
  <c r="CP40" i="5"/>
  <c r="CP19" i="5"/>
  <c r="CP30" i="5"/>
  <c r="CP24" i="5"/>
  <c r="CP16" i="5"/>
  <c r="CP10" i="5"/>
  <c r="CP22" i="5"/>
  <c r="CP31" i="5"/>
  <c r="CP21" i="5"/>
  <c r="CP25" i="5"/>
  <c r="CP12" i="5"/>
  <c r="CP38" i="5"/>
  <c r="CP43" i="5"/>
  <c r="CP11" i="5"/>
  <c r="CP26" i="5"/>
  <c r="CP41" i="5"/>
  <c r="CP6" i="5"/>
  <c r="CP23" i="5"/>
  <c r="CP35" i="5"/>
  <c r="CP34" i="5"/>
  <c r="CP36" i="5"/>
  <c r="CP20" i="5"/>
  <c r="CP42" i="5"/>
  <c r="CP28" i="5"/>
  <c r="CP27" i="5"/>
  <c r="CP14" i="5"/>
  <c r="CP13" i="5"/>
  <c r="CP29" i="5"/>
  <c r="CP39" i="5"/>
  <c r="CP17" i="5"/>
  <c r="CP15" i="5"/>
  <c r="CP37" i="5"/>
  <c r="CP33" i="5"/>
  <c r="CP4" i="5"/>
  <c r="CQ28" i="5" l="1"/>
  <c r="CQ29" i="5"/>
  <c r="CQ10" i="5"/>
  <c r="CQ41" i="5"/>
  <c r="CQ16" i="5"/>
  <c r="CQ43" i="5"/>
  <c r="CQ30" i="5"/>
  <c r="CQ20" i="5"/>
  <c r="CQ11" i="5"/>
  <c r="CQ15" i="5"/>
  <c r="CQ26" i="5"/>
  <c r="CQ4" i="5"/>
  <c r="CQ13" i="5"/>
  <c r="CQ38" i="5"/>
  <c r="CQ21" i="5"/>
  <c r="CQ12" i="5"/>
  <c r="CQ14" i="5"/>
  <c r="CQ25" i="5"/>
  <c r="CQ42" i="5"/>
  <c r="CQ33" i="5"/>
  <c r="CQ39" i="5"/>
  <c r="CQ37" i="5"/>
  <c r="CQ6" i="5"/>
  <c r="CQ27" i="5"/>
  <c r="CQ34" i="5"/>
  <c r="CQ36" i="5"/>
  <c r="CQ24" i="5"/>
  <c r="CQ22" i="5"/>
  <c r="CQ17" i="5"/>
  <c r="CQ40" i="5"/>
  <c r="CQ32" i="5"/>
  <c r="CQ35" i="5"/>
  <c r="CQ31" i="5"/>
  <c r="CQ18" i="5"/>
  <c r="CQ19" i="5"/>
  <c r="CQ23" i="5"/>
  <c r="CS5" i="5"/>
  <c r="CR7" i="5"/>
  <c r="CR9" i="5" s="1"/>
  <c r="CT5" i="5" l="1"/>
  <c r="CT7" i="5" s="1"/>
  <c r="CT9" i="5" s="1"/>
  <c r="CS7" i="5"/>
  <c r="CS9" i="5" s="1"/>
  <c r="CR26" i="5"/>
  <c r="CR42" i="5"/>
  <c r="CR13" i="5"/>
  <c r="CR33" i="5"/>
  <c r="CR43" i="5"/>
  <c r="CR28" i="5"/>
  <c r="CR12" i="5"/>
  <c r="CR38" i="5"/>
  <c r="CR35" i="5"/>
  <c r="CR11" i="5"/>
  <c r="CR14" i="5"/>
  <c r="CR24" i="5"/>
  <c r="CR10" i="5"/>
  <c r="CR22" i="5"/>
  <c r="CR18" i="5"/>
  <c r="CR30" i="5"/>
  <c r="CR29" i="5"/>
  <c r="CR4" i="5"/>
  <c r="CR31" i="5"/>
  <c r="CR16" i="5"/>
  <c r="CR40" i="5"/>
  <c r="CR15" i="5"/>
  <c r="CR6" i="5"/>
  <c r="CR20" i="5"/>
  <c r="CR37" i="5"/>
  <c r="CR32" i="5"/>
  <c r="CR34" i="5"/>
  <c r="CR27" i="5"/>
  <c r="CR19" i="5"/>
  <c r="CR17" i="5"/>
  <c r="CR21" i="5"/>
  <c r="CR23" i="5"/>
  <c r="CR41" i="5"/>
  <c r="CR36" i="5"/>
  <c r="CR25" i="5"/>
  <c r="CR39" i="5"/>
  <c r="CS35" i="5" l="1"/>
  <c r="CS12" i="5"/>
  <c r="CS10" i="5"/>
  <c r="CS4" i="5"/>
  <c r="CS13" i="5"/>
  <c r="CS16" i="5"/>
  <c r="CS23" i="5"/>
  <c r="CS37" i="5"/>
  <c r="CS41" i="5"/>
  <c r="CS40" i="5"/>
  <c r="CS15" i="5"/>
  <c r="CS32" i="5"/>
  <c r="CS28" i="5"/>
  <c r="CS11" i="5"/>
  <c r="CS22" i="5"/>
  <c r="CS24" i="5"/>
  <c r="CS18" i="5"/>
  <c r="CS42" i="5"/>
  <c r="CS43" i="5"/>
  <c r="CS21" i="5"/>
  <c r="CS6" i="5"/>
  <c r="CS25" i="5"/>
  <c r="CS26" i="5"/>
  <c r="CS19" i="5"/>
  <c r="CS29" i="5"/>
  <c r="CS34" i="5"/>
  <c r="CS30" i="5"/>
  <c r="CS31" i="5"/>
  <c r="CS38" i="5"/>
  <c r="CS14" i="5"/>
  <c r="CS20" i="5"/>
  <c r="CS27" i="5"/>
  <c r="CS39" i="5"/>
  <c r="CS33" i="5"/>
  <c r="CS17" i="5"/>
  <c r="CS36" i="5"/>
  <c r="CT43" i="5"/>
  <c r="CT26" i="5"/>
  <c r="CT4" i="5"/>
  <c r="CT16" i="5"/>
  <c r="CT38" i="5"/>
  <c r="CT28" i="5"/>
  <c r="CT24" i="5"/>
  <c r="CT42" i="5"/>
  <c r="CT14" i="5"/>
  <c r="CT27" i="5"/>
  <c r="CT40" i="5"/>
  <c r="CT20" i="5"/>
  <c r="CT22" i="5"/>
  <c r="CT31" i="5"/>
  <c r="CT15" i="5"/>
  <c r="CT23" i="5"/>
  <c r="CT10" i="5"/>
  <c r="CT35" i="5"/>
  <c r="CT12" i="5"/>
  <c r="CT34" i="5"/>
  <c r="CT37" i="5"/>
  <c r="CT39" i="5"/>
  <c r="CT25" i="5"/>
  <c r="CT13" i="5"/>
  <c r="CT11" i="5"/>
  <c r="CT32" i="5"/>
  <c r="CT36" i="5"/>
  <c r="CT21" i="5"/>
  <c r="CT18" i="5"/>
  <c r="CT19" i="5"/>
  <c r="CT33" i="5"/>
  <c r="CT17" i="5"/>
  <c r="CT41" i="5"/>
  <c r="CT30" i="5"/>
  <c r="CT29" i="5"/>
  <c r="CT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L66" authorId="0" shapeId="0" xr:uid="{00000000-0006-0000-0000-000001000000}">
      <text>
        <r>
          <rPr>
            <sz val="12"/>
            <color indexed="81"/>
            <rFont val="新細明體"/>
            <family val="1"/>
            <charset val="136"/>
          </rPr>
          <t>匯出符合以下條件工作
1.outlook註記不等於1
2.工作未完成
於匯出後，工作類別名稱等於專案代號</t>
        </r>
      </text>
    </comment>
    <comment ref="L68" authorId="0" shapeId="0" xr:uid="{00000000-0006-0000-0000-000002000000}">
      <text>
        <r>
          <rPr>
            <sz val="12"/>
            <color indexed="81"/>
            <rFont val="新細明體"/>
            <family val="1"/>
            <charset val="136"/>
          </rPr>
          <t>匯出條件同outlook工作，並需預計開始及結束日期。
均為全天事項</t>
        </r>
      </text>
    </comment>
    <comment ref="K70" authorId="0" shapeId="0" xr:uid="{00000000-0006-0000-0000-000003000000}">
      <text>
        <r>
          <rPr>
            <sz val="12"/>
            <color indexed="81"/>
            <rFont val="新細明體"/>
            <family val="1"/>
            <charset val="136"/>
          </rPr>
          <t>以數字順序編工作項目的編號，視需要使用
如果要自訂編號，需在/Config/ sheets裡設定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A5" authorId="0" shapeId="0" xr:uid="{00000000-0006-0000-0100-000001000000}">
      <text>
        <r>
          <rPr>
            <b/>
            <sz val="9"/>
            <color rgb="FF000000"/>
            <rFont val="新細明體"/>
            <family val="1"/>
            <charset val="136"/>
          </rPr>
          <t>陳寬學</t>
        </r>
        <r>
          <rPr>
            <b/>
            <sz val="9"/>
            <color rgb="FF000000"/>
            <rFont val="新細明體"/>
            <family val="1"/>
            <charset val="136"/>
          </rPr>
          <t xml:space="preserve">:
</t>
        </r>
        <r>
          <rPr>
            <b/>
            <sz val="9"/>
            <color rgb="FF000000"/>
            <rFont val="新細明體"/>
            <family val="1"/>
            <charset val="136"/>
          </rPr>
          <t>目前使用檢視方式</t>
        </r>
        <r>
          <rPr>
            <b/>
            <sz val="9"/>
            <color rgb="FF000000"/>
            <rFont val="新細明體"/>
            <family val="1"/>
            <charset val="136"/>
          </rPr>
          <t xml:space="preserve">
</t>
        </r>
        <r>
          <rPr>
            <b/>
            <sz val="9"/>
            <color rgb="FF000000"/>
            <rFont val="新細明體"/>
            <family val="1"/>
            <charset val="136"/>
          </rPr>
          <t xml:space="preserve">(W/D)
</t>
        </r>
        <r>
          <rPr>
            <b/>
            <sz val="9"/>
            <color rgb="FF000000"/>
            <rFont val="新細明體"/>
            <family val="1"/>
            <charset val="136"/>
          </rPr>
          <t>不要手動更改</t>
        </r>
      </text>
    </comment>
    <comment ref="D5" authorId="0" shapeId="0" xr:uid="{00000000-0006-0000-0100-000002000000}">
      <text>
        <r>
          <rPr>
            <b/>
            <sz val="9"/>
            <color rgb="FF000000"/>
            <rFont val="新細明體"/>
            <family val="1"/>
            <charset val="136"/>
          </rPr>
          <t>陳寬學</t>
        </r>
        <r>
          <rPr>
            <b/>
            <sz val="9"/>
            <color rgb="FF000000"/>
            <rFont val="新細明體"/>
            <family val="1"/>
            <charset val="136"/>
          </rPr>
          <t>:</t>
        </r>
        <r>
          <rPr>
            <sz val="9"/>
            <color rgb="FF000000"/>
            <rFont val="新細明體"/>
            <family val="1"/>
            <charset val="136"/>
          </rPr>
          <t xml:space="preserve">
</t>
        </r>
        <r>
          <rPr>
            <sz val="9"/>
            <color rgb="FF000000"/>
            <rFont val="新細明體"/>
            <family val="1"/>
            <charset val="136"/>
          </rPr>
          <t>日顯示時，開始的日期</t>
        </r>
      </text>
    </comment>
    <comment ref="E5" authorId="0" shapeId="0" xr:uid="{00000000-0006-0000-0100-000003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有達到進度的欄位顯示</t>
        </r>
      </text>
    </comment>
    <comment ref="H5" authorId="0" shapeId="0" xr:uid="{00000000-0006-0000-0100-000004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沒有達到進度的欄位顯示</t>
        </r>
      </text>
    </comment>
    <comment ref="A7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陳寬學:
於 COnfig sheete可設定是否輸入
流水號編號.
如果要自訂編號時，選不重新計算
如果要每次都使用流水號,選重新計算</t>
        </r>
      </text>
    </comment>
    <comment ref="F7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陳寬學：
自行應用，可以設定為實際開始日期</t>
        </r>
      </text>
    </comment>
    <comment ref="G7" authorId="0" shapeId="0" xr:uid="{00000000-0006-0000-0100-000007000000}">
      <text>
        <r>
          <rPr>
            <sz val="12"/>
            <color indexed="81"/>
            <rFont val="新細明體"/>
            <family val="1"/>
            <charset val="136"/>
          </rPr>
          <t>陳寬學:
自行應用，可以設定為實際完成日期</t>
        </r>
      </text>
    </comment>
    <comment ref="H7" authorId="0" shapeId="0" xr:uid="{00000000-0006-0000-0100-000008000000}">
      <text>
        <r>
          <rPr>
            <sz val="12"/>
            <color rgb="FF000000"/>
            <rFont val="新細明體"/>
            <family val="1"/>
            <charset val="136"/>
          </rPr>
          <t>陳寬學</t>
        </r>
        <r>
          <rPr>
            <sz val="12"/>
            <color rgb="FF000000"/>
            <rFont val="新細明體"/>
            <family val="1"/>
            <charset val="136"/>
          </rPr>
          <t xml:space="preserve">:
</t>
        </r>
        <r>
          <rPr>
            <sz val="12"/>
            <color rgb="FF000000"/>
            <rFont val="新細明體"/>
            <family val="1"/>
            <charset val="136"/>
          </rPr>
          <t>建議匯總人員才填寫此欄位，以明確定義工作完成度。</t>
        </r>
        <r>
          <rPr>
            <sz val="12"/>
            <color rgb="FF000000"/>
            <rFont val="新細明體"/>
            <family val="1"/>
            <charset val="136"/>
          </rPr>
          <t xml:space="preserve">
</t>
        </r>
        <r>
          <rPr>
            <sz val="12"/>
            <color rgb="FF000000"/>
            <rFont val="新細明體"/>
            <family val="1"/>
            <charset val="136"/>
          </rPr>
          <t>可使用</t>
        </r>
        <r>
          <rPr>
            <sz val="12"/>
            <color rgb="FF000000"/>
            <rFont val="新細明體"/>
            <family val="1"/>
            <charset val="136"/>
          </rPr>
          <t>average()</t>
        </r>
        <r>
          <rPr>
            <sz val="12"/>
            <color rgb="FF000000"/>
            <rFont val="新細明體"/>
            <family val="1"/>
            <charset val="136"/>
          </rPr>
          <t>幫助自動計算進度</t>
        </r>
      </text>
    </comment>
    <comment ref="J7" authorId="0" shapeId="0" xr:uid="{00000000-0006-0000-0100-000009000000}">
      <text>
        <r>
          <rPr>
            <b/>
            <sz val="12"/>
            <color indexed="81"/>
            <rFont val="新細明體"/>
            <family val="1"/>
            <charset val="136"/>
          </rPr>
          <t>陳寬學:</t>
        </r>
        <r>
          <rPr>
            <sz val="12"/>
            <color indexed="81"/>
            <rFont val="新細明體"/>
            <family val="1"/>
            <charset val="136"/>
          </rPr>
          <t xml:space="preserve">
Mail Messager預設要通知的成員 or 成員們</t>
        </r>
      </text>
    </comment>
    <comment ref="K7" authorId="0" shapeId="0" xr:uid="{00000000-0006-0000-0100-00000A000000}">
      <text>
        <r>
          <rPr>
            <sz val="12"/>
            <color indexed="81"/>
            <rFont val="新細明體"/>
            <family val="1"/>
            <charset val="136"/>
          </rPr>
          <t>陳寬學:
保留</t>
        </r>
      </text>
    </comment>
    <comment ref="L7" authorId="0" shapeId="0" xr:uid="{00000000-0006-0000-0100-00000B000000}">
      <text>
        <r>
          <rPr>
            <sz val="12"/>
            <color indexed="81"/>
            <rFont val="新細明體"/>
            <family val="1"/>
            <charset val="136"/>
          </rPr>
          <t>陳寬學:
是否要與OUTLOOK同步
=1 不同步
&lt;&gt;1同步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G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今天日期</t>
        </r>
      </text>
    </comment>
    <comment ref="C3" authorId="0" shapeId="0" xr:uid="{00000000-0006-0000-0200-000002000000}">
      <text>
        <r>
          <rPr>
            <b/>
            <sz val="11"/>
            <color indexed="81"/>
            <rFont val="新細明體"/>
            <family val="1"/>
            <charset val="136"/>
          </rPr>
          <t>陳寬學:</t>
        </r>
        <r>
          <rPr>
            <sz val="11"/>
            <color indexed="81"/>
            <rFont val="新細明體"/>
            <family val="1"/>
            <charset val="136"/>
          </rPr>
          <t xml:space="preserve">
D日內未完成的待完成事項</t>
        </r>
      </text>
    </comment>
    <comment ref="I6" authorId="0" shapeId="0" xr:uid="{00000000-0006-0000-0200-000003000000}">
      <text>
        <r>
          <rPr>
            <sz val="12"/>
            <color indexed="81"/>
            <rFont val="新細明體"/>
            <family val="1"/>
            <charset val="136"/>
          </rPr>
          <t>通知：可產生信件
不通知：不產生信件</t>
        </r>
      </text>
    </comment>
  </commentList>
</comments>
</file>

<file path=xl/sharedStrings.xml><?xml version="1.0" encoding="utf-8"?>
<sst xmlns="http://schemas.openxmlformats.org/spreadsheetml/2006/main" count="295" uniqueCount="192">
  <si>
    <t>名稱</t>
    <phoneticPr fontId="2" type="noConversion"/>
  </si>
  <si>
    <t>編號</t>
    <phoneticPr fontId="2" type="noConversion"/>
  </si>
  <si>
    <t>狀況</t>
    <phoneticPr fontId="2" type="noConversion"/>
  </si>
  <si>
    <t>說明</t>
    <phoneticPr fontId="2" type="noConversion"/>
  </si>
  <si>
    <t>結束</t>
    <phoneticPr fontId="2" type="noConversion"/>
  </si>
  <si>
    <t>月份</t>
    <phoneticPr fontId="2" type="noConversion"/>
  </si>
  <si>
    <t>日期序 -&gt;</t>
    <phoneticPr fontId="2" type="noConversion"/>
  </si>
  <si>
    <t>開始</t>
    <phoneticPr fontId="2" type="noConversion"/>
  </si>
  <si>
    <t>進度</t>
    <phoneticPr fontId="2" type="noConversion"/>
  </si>
  <si>
    <t>月份</t>
    <phoneticPr fontId="2" type="noConversion"/>
  </si>
  <si>
    <t>星期</t>
    <phoneticPr fontId="2" type="noConversion"/>
  </si>
  <si>
    <t>負責</t>
    <phoneticPr fontId="2" type="noConversion"/>
  </si>
  <si>
    <t>S</t>
    <phoneticPr fontId="2" type="noConversion"/>
  </si>
  <si>
    <t>Contact</t>
    <phoneticPr fontId="2" type="noConversion"/>
  </si>
  <si>
    <t>姓名</t>
    <phoneticPr fontId="2" type="noConversion"/>
  </si>
  <si>
    <t>簡稱</t>
    <phoneticPr fontId="2" type="noConversion"/>
  </si>
  <si>
    <t>信箱</t>
    <phoneticPr fontId="2" type="noConversion"/>
  </si>
  <si>
    <t>備註</t>
    <phoneticPr fontId="2" type="noConversion"/>
  </si>
  <si>
    <t>名稱</t>
    <phoneticPr fontId="2" type="noConversion"/>
  </si>
  <si>
    <t>設定值</t>
    <phoneticPr fontId="2" type="noConversion"/>
  </si>
  <si>
    <t>備註</t>
    <phoneticPr fontId="2" type="noConversion"/>
  </si>
  <si>
    <t>專案代號</t>
    <phoneticPr fontId="2" type="noConversion"/>
  </si>
  <si>
    <t>電話</t>
    <phoneticPr fontId="2" type="noConversion"/>
  </si>
  <si>
    <t>參數設定</t>
    <phoneticPr fontId="2" type="noConversion"/>
  </si>
  <si>
    <t>專案代號</t>
    <phoneticPr fontId="2" type="noConversion"/>
  </si>
  <si>
    <t>今日</t>
    <phoneticPr fontId="2" type="noConversion"/>
  </si>
  <si>
    <t>Contact Sheet</t>
    <phoneticPr fontId="2" type="noConversion"/>
  </si>
  <si>
    <t>AlertView Sheet</t>
    <phoneticPr fontId="2" type="noConversion"/>
  </si>
  <si>
    <t>工作項目最大數</t>
    <phoneticPr fontId="2" type="noConversion"/>
  </si>
  <si>
    <t>MAIL通知</t>
    <phoneticPr fontId="2" type="noConversion"/>
  </si>
  <si>
    <t>預先警示天數</t>
    <phoneticPr fontId="2" type="noConversion"/>
  </si>
  <si>
    <t>天</t>
    <phoneticPr fontId="2" type="noConversion"/>
  </si>
  <si>
    <t>結果日期&lt;今日,狀況&lt;&gt;已完成</t>
    <phoneticPr fontId="2" type="noConversion"/>
  </si>
  <si>
    <t>結果日期&lt;今日-預先警示天數 ,狀況&lt;&gt;已完成</t>
    <phoneticPr fontId="2" type="noConversion"/>
  </si>
  <si>
    <t>MAIL通知欄位=通知, 才會產生信件</t>
    <phoneticPr fontId="2" type="noConversion"/>
  </si>
  <si>
    <t>Program Sheet</t>
    <phoneticPr fontId="2" type="noConversion"/>
  </si>
  <si>
    <t>依日別顯示</t>
    <phoneticPr fontId="2" type="noConversion"/>
  </si>
  <si>
    <t>是否在Refresh時
都重新計算編號</t>
    <phoneticPr fontId="2" type="noConversion"/>
  </si>
  <si>
    <t>依週別顯示</t>
    <phoneticPr fontId="2" type="noConversion"/>
  </si>
  <si>
    <t>日別GANTT</t>
    <phoneticPr fontId="2" type="noConversion"/>
  </si>
  <si>
    <t>週別GANTT</t>
    <phoneticPr fontId="2" type="noConversion"/>
  </si>
  <si>
    <t>是否使用OUTLOOK</t>
    <phoneticPr fontId="2" type="noConversion"/>
  </si>
  <si>
    <t>不重新計算</t>
  </si>
  <si>
    <t>／</t>
    <phoneticPr fontId="2" type="noConversion"/>
  </si>
  <si>
    <t>便捷隱藏區域</t>
    <phoneticPr fontId="2" type="noConversion"/>
  </si>
  <si>
    <t>隱藏區域，隱藏部份欄位</t>
    <phoneticPr fontId="2" type="noConversion"/>
  </si>
  <si>
    <t>需求訪談</t>
    <phoneticPr fontId="2" type="noConversion"/>
  </si>
  <si>
    <t>系統分析</t>
    <phoneticPr fontId="2" type="noConversion"/>
  </si>
  <si>
    <t>A</t>
    <phoneticPr fontId="2" type="noConversion"/>
  </si>
  <si>
    <t>使用 OUTLOOK才有
1.Mail 功能
2.Outlook 工作功能
3.Outllook 行事曆功能</t>
    <phoneticPr fontId="2" type="noConversion"/>
  </si>
  <si>
    <t>Program</t>
    <phoneticPr fontId="2" type="noConversion"/>
  </si>
  <si>
    <t>Contact</t>
    <phoneticPr fontId="2" type="noConversion"/>
  </si>
  <si>
    <t>Alert</t>
    <phoneticPr fontId="2" type="noConversion"/>
  </si>
  <si>
    <t>■</t>
    <phoneticPr fontId="2" type="noConversion"/>
  </si>
  <si>
    <t>專案開始日</t>
    <phoneticPr fontId="2" type="noConversion"/>
  </si>
  <si>
    <t>週別檢視顯示切換</t>
    <phoneticPr fontId="2" type="noConversion"/>
  </si>
  <si>
    <t>日檢視顯示切換</t>
    <phoneticPr fontId="2" type="noConversion"/>
  </si>
  <si>
    <t>輸入0~31：以當日往回計算N天開始顯示</t>
    <phoneticPr fontId="2" type="noConversion"/>
  </si>
  <si>
    <t>今日-N日開始顯示</t>
    <phoneticPr fontId="2" type="noConversion"/>
  </si>
  <si>
    <t>◇</t>
    <phoneticPr fontId="2" type="noConversion"/>
  </si>
  <si>
    <t>週別檢視切換
選擇YES：以[專案開始日]月份開始顯示
選擇NO：不調整開始顯示月份</t>
    <phoneticPr fontId="2" type="noConversion"/>
  </si>
  <si>
    <t>日程表專案的開始年月
週別檢視時，會以此日的月份開始顯示</t>
    <phoneticPr fontId="2" type="noConversion"/>
  </si>
  <si>
    <t>預定</t>
    <phoneticPr fontId="2" type="noConversion"/>
  </si>
  <si>
    <t>預定</t>
    <phoneticPr fontId="2" type="noConversion"/>
  </si>
  <si>
    <t>週別檢視切換
選擇YES：以今日-N日開始顯示，（N值為下一個設定參數）
選擇NO：以當月一日開始顯示</t>
    <phoneticPr fontId="2" type="noConversion"/>
  </si>
  <si>
    <t>Yes</t>
  </si>
  <si>
    <t>實際</t>
    <phoneticPr fontId="2" type="noConversion"/>
  </si>
  <si>
    <t>C:C,D:E,F:G,K:L</t>
    <phoneticPr fontId="2" type="noConversion"/>
  </si>
  <si>
    <t>西元年/月</t>
    <phoneticPr fontId="2" type="noConversion"/>
  </si>
  <si>
    <t>開始日期</t>
    <phoneticPr fontId="2" type="noConversion"/>
  </si>
  <si>
    <t>結束日期</t>
    <phoneticPr fontId="2" type="noConversion"/>
  </si>
  <si>
    <t>Windows2000 以上</t>
    <phoneticPr fontId="2" type="noConversion"/>
  </si>
  <si>
    <t>Excel 2000 以上</t>
    <phoneticPr fontId="2" type="noConversion"/>
  </si>
  <si>
    <t>再以以下的畫面進行所需工作</t>
    <phoneticPr fontId="2" type="noConversion"/>
  </si>
  <si>
    <t>週別/月別顯示</t>
    <phoneticPr fontId="2" type="noConversion"/>
  </si>
  <si>
    <t>可以切換顯示日/週別</t>
    <phoneticPr fontId="2" type="noConversion"/>
  </si>
  <si>
    <t>隱藏某些欄位(如A:A,D:G,I:J)以方便檢視</t>
    <phoneticPr fontId="2" type="noConversion"/>
  </si>
  <si>
    <t>匯出outlook工作</t>
    <phoneticPr fontId="2" type="noConversion"/>
  </si>
  <si>
    <t>將原本日程表畫面的按鈕集中到一個按[Fn]鈕</t>
    <phoneticPr fontId="2" type="noConversion"/>
  </si>
  <si>
    <t>◆目前指標工作項</t>
    <phoneticPr fontId="2" type="noConversion"/>
  </si>
  <si>
    <t>◆日程表顯示</t>
    <phoneticPr fontId="2" type="noConversion"/>
  </si>
  <si>
    <t>◆outlook功能</t>
    <phoneticPr fontId="2" type="noConversion"/>
  </si>
  <si>
    <t>Notes：此頁如果不使用可以刪除，不會影響功能</t>
    <phoneticPr fontId="2" type="noConversion"/>
  </si>
  <si>
    <t>□日程表清單</t>
    <phoneticPr fontId="2" type="noConversion"/>
  </si>
  <si>
    <t>◆選出延誤警示</t>
    <phoneticPr fontId="2" type="noConversion"/>
  </si>
  <si>
    <t>◆預先警示</t>
    <phoneticPr fontId="2" type="noConversion"/>
  </si>
  <si>
    <t>◆寄出通出信件</t>
    <phoneticPr fontId="2" type="noConversion"/>
  </si>
  <si>
    <t>主要的時程及milestore</t>
    <phoneticPr fontId="2" type="noConversion"/>
  </si>
  <si>
    <t>可自行繪圖表示，及加上文字說明</t>
    <phoneticPr fontId="2" type="noConversion"/>
  </si>
  <si>
    <t>找出未完成及待完成的工作</t>
    <phoneticPr fontId="2" type="noConversion"/>
  </si>
  <si>
    <t>□ 日期設定</t>
    <phoneticPr fontId="2" type="noConversion"/>
  </si>
  <si>
    <t>□ 聯絡人設定</t>
    <phoneticPr fontId="2" type="noConversion"/>
  </si>
  <si>
    <t>簡捷隱藏</t>
    <phoneticPr fontId="2" type="noConversion"/>
  </si>
  <si>
    <t>□ 警示清單</t>
    <phoneticPr fontId="2" type="noConversion"/>
  </si>
  <si>
    <t>□ Outlook信件</t>
    <phoneticPr fontId="2" type="noConversion"/>
  </si>
  <si>
    <t>自行繪圖區</t>
    <phoneticPr fontId="2" type="noConversion"/>
  </si>
  <si>
    <t>Outlook 2000以上 (非必需)</t>
    <phoneticPr fontId="2" type="noConversion"/>
  </si>
  <si>
    <t>◆AUTOFIX</t>
    <phoneticPr fontId="2" type="noConversion"/>
  </si>
  <si>
    <t>自動以計算目前應用進度。</t>
    <phoneticPr fontId="2" type="noConversion"/>
  </si>
  <si>
    <t>如果指標有停在工作項，按下後會顯示工作內容</t>
    <phoneticPr fontId="2" type="noConversion"/>
  </si>
  <si>
    <t>◆寄信給負責人</t>
    <phoneticPr fontId="2" type="noConversion"/>
  </si>
  <si>
    <t>使用Outlook功能編寫信件</t>
    <phoneticPr fontId="2" type="noConversion"/>
  </si>
  <si>
    <t>其他：</t>
  </si>
  <si>
    <t>跨年的時候，進度Bar顯示不正常</t>
  </si>
  <si>
    <t>要計算工作項目使用的日數</t>
  </si>
  <si>
    <t>父工作項目的完成率要由子項目的完成率取平均</t>
  </si>
  <si>
    <t>日程式的內容差異比較</t>
  </si>
  <si>
    <t>在保留的欄位，使用者自行運用即可
工作天數=結束日-開始日+1天</t>
    <phoneticPr fontId="2" type="noConversion"/>
  </si>
  <si>
    <t>□ 其它</t>
    <phoneticPr fontId="2" type="noConversion"/>
  </si>
  <si>
    <t>自行運用，用AVERAGEA函數，取子工作項目的完成率即可。如果要保守預估，可以用Min</t>
    <phoneticPr fontId="2" type="noConversion"/>
  </si>
  <si>
    <t>□簡要說明</t>
    <phoneticPr fontId="2" type="noConversion"/>
  </si>
  <si>
    <t>配合工作清單使用，寄信時自動帶入電子信箱清單</t>
    <phoneticPr fontId="2" type="noConversion"/>
  </si>
  <si>
    <t>圖中只能了解目前進度，無法對較上一次到現在的差異
建議以下的方法對應：
1.A進度表全選→複製→存成A純文字檔
2.B進度表全選→複製→存成B純文字檔
3.使用檔案比對工具比對差異。(windiff之類的工具)</t>
    <phoneticPr fontId="2" type="noConversion"/>
  </si>
  <si>
    <t>查看工作項目的開始日期及結束日期。因為顯示只有顯示月及日，年份沒有顯示。修改欄位內容為正確年份</t>
    <phoneticPr fontId="2" type="noConversion"/>
  </si>
  <si>
    <t>將日程表畫面分為</t>
    <phoneticPr fontId="2" type="noConversion"/>
  </si>
  <si>
    <t>標題區</t>
    <phoneticPr fontId="2" type="noConversion"/>
  </si>
  <si>
    <t>B</t>
    <phoneticPr fontId="2" type="noConversion"/>
  </si>
  <si>
    <t>C</t>
    <phoneticPr fontId="2" type="noConversion"/>
  </si>
  <si>
    <t>工作項目</t>
    <phoneticPr fontId="2" type="noConversion"/>
  </si>
  <si>
    <t>工作資料存放的位置</t>
    <phoneticPr fontId="2" type="noConversion"/>
  </si>
  <si>
    <t>D</t>
    <phoneticPr fontId="2" type="noConversion"/>
  </si>
  <si>
    <t>甘特圖</t>
    <phoneticPr fontId="2" type="noConversion"/>
  </si>
  <si>
    <t>□日程表選單功能：在Program sheets按下[Fn]會顯示以下圖面</t>
    <phoneticPr fontId="2" type="noConversion"/>
  </si>
  <si>
    <t>將工作項目抄寫一份至outlook行事曆</t>
    <phoneticPr fontId="2" type="noConversion"/>
  </si>
  <si>
    <t>將工作項目抄寫一份至outlook工作</t>
    <phoneticPr fontId="2" type="noConversion"/>
  </si>
  <si>
    <t>日別甘特圖區域(勿任意更改)</t>
    <phoneticPr fontId="2" type="noConversion"/>
  </si>
  <si>
    <t>週別甘特圖區域(勿任意更改)</t>
    <phoneticPr fontId="2" type="noConversion"/>
  </si>
  <si>
    <t>細部使用</t>
    <phoneticPr fontId="2" type="noConversion"/>
  </si>
  <si>
    <t>顯示設定</t>
    <phoneticPr fontId="2" type="noConversion"/>
  </si>
  <si>
    <t>勿任意更改</t>
    <phoneticPr fontId="2" type="noConversion"/>
  </si>
  <si>
    <t>勿任意更改</t>
    <phoneticPr fontId="2" type="noConversion"/>
  </si>
  <si>
    <t>聯絡清單（限設定100個)</t>
    <phoneticPr fontId="2" type="noConversion"/>
  </si>
  <si>
    <t>匯出outlook行事曆</t>
    <phoneticPr fontId="2" type="noConversion"/>
  </si>
  <si>
    <t>◆重新編號</t>
    <phoneticPr fontId="2" type="noConversion"/>
  </si>
  <si>
    <t>配合使用日別／週別切換方式切換所要檢視</t>
    <phoneticPr fontId="2" type="noConversion"/>
  </si>
  <si>
    <t>參考工具使用的方式</t>
    <phoneticPr fontId="2" type="noConversion"/>
  </si>
  <si>
    <t>工作項目如果要自訂編號，此項目要選不重新計算</t>
    <phoneticPr fontId="2" type="noConversion"/>
  </si>
  <si>
    <t>※如果只使用日程表功能不使用Outlook相關功能，在Config頁設定【不使用Outlook功能】，Alert及Contact Sheet將自動隱藏，以簡潔畫面</t>
    <phoneticPr fontId="2" type="noConversion"/>
  </si>
  <si>
    <t>已應過天數為分子。</t>
    <phoneticPr fontId="2" type="noConversion"/>
  </si>
  <si>
    <t>以預計開始至預計結束日數為分母</t>
    <phoneticPr fontId="2" type="noConversion"/>
  </si>
  <si>
    <t>限制：如果在週別檢視下有繪圖，就不要再切換為日別檢視。以防止繪圖錯置位置</t>
    <phoneticPr fontId="2" type="noConversion"/>
  </si>
  <si>
    <t>※週別檢視可以設定專案開始日使繪圖不會易位</t>
    <phoneticPr fontId="2" type="noConversion"/>
  </si>
  <si>
    <t>Outlook的使用主為編寫信件</t>
    <phoneticPr fontId="2" type="noConversion"/>
  </si>
  <si>
    <t>工作及日曆為單向抄寫，無雙向同步</t>
    <phoneticPr fontId="2" type="noConversion"/>
  </si>
  <si>
    <t>輔助的範圍</t>
    <phoneticPr fontId="2" type="noConversion"/>
  </si>
  <si>
    <t>30 D 待辦事項</t>
    <phoneticPr fontId="2" type="noConversion"/>
  </si>
  <si>
    <t>CAMPAGIN3PCLOUD</t>
    <phoneticPr fontId="2" type="noConversion"/>
  </si>
  <si>
    <t>功能開發</t>
    <phoneticPr fontId="2" type="noConversion"/>
  </si>
  <si>
    <t>環境建置</t>
    <phoneticPr fontId="2" type="noConversion"/>
  </si>
  <si>
    <t>GCP UAT 環境</t>
    <phoneticPr fontId="2" type="noConversion"/>
  </si>
  <si>
    <t>UAT 環境</t>
    <phoneticPr fontId="2" type="noConversion"/>
  </si>
  <si>
    <t>GCP Prod 環境</t>
    <phoneticPr fontId="2" type="noConversion"/>
  </si>
  <si>
    <t>QC</t>
    <phoneticPr fontId="2" type="noConversion"/>
  </si>
  <si>
    <t>上線</t>
    <phoneticPr fontId="2" type="noConversion"/>
  </si>
  <si>
    <t>SIT</t>
    <phoneticPr fontId="2" type="noConversion"/>
  </si>
  <si>
    <t>未開始</t>
  </si>
  <si>
    <t>GCP UAT CloudDispatcher</t>
    <phoneticPr fontId="2" type="noConversion"/>
  </si>
  <si>
    <t>GCP Prod CloudDispatcher</t>
    <phoneticPr fontId="2" type="noConversion"/>
  </si>
  <si>
    <t>DB雲地存取模式</t>
    <phoneticPr fontId="2" type="noConversion"/>
  </si>
  <si>
    <t>未結購物車雲地存取模式及搬至mongo</t>
    <phoneticPr fontId="2" type="noConversion"/>
  </si>
  <si>
    <t>mongo altas</t>
    <phoneticPr fontId="2" type="noConversion"/>
  </si>
  <si>
    <t>3P待結帳運算,轉送雲端進行結帳運算</t>
    <phoneticPr fontId="2" type="noConversion"/>
  </si>
  <si>
    <t>內部開發 cycle1</t>
    <phoneticPr fontId="2" type="noConversion"/>
  </si>
  <si>
    <t>內部開發 cycle2</t>
    <phoneticPr fontId="2" type="noConversion"/>
  </si>
  <si>
    <t>功能開發-修正補齊</t>
    <phoneticPr fontId="2" type="noConversion"/>
  </si>
  <si>
    <t>寬學</t>
    <phoneticPr fontId="2" type="noConversion"/>
  </si>
  <si>
    <t>緒雯</t>
    <phoneticPr fontId="2" type="noConversion"/>
  </si>
  <si>
    <t>杰陞</t>
    <phoneticPr fontId="2" type="noConversion"/>
  </si>
  <si>
    <t>家翔</t>
    <phoneticPr fontId="2" type="noConversion"/>
  </si>
  <si>
    <t>config service -sync</t>
    <phoneticPr fontId="2" type="noConversion"/>
  </si>
  <si>
    <t>Session外部化雲地存取模式</t>
    <phoneticPr fontId="2" type="noConversion"/>
  </si>
  <si>
    <t>Rabbit雲地存取模式</t>
    <phoneticPr fontId="2" type="noConversion"/>
  </si>
  <si>
    <t xml:space="preserve">部份快取由 Redis 不分區 移出 </t>
    <phoneticPr fontId="2" type="noConversion"/>
  </si>
  <si>
    <t>ALL</t>
    <phoneticPr fontId="2" type="noConversion"/>
  </si>
  <si>
    <t xml:space="preserve">cloud dispatcher -api 串接設定 </t>
    <phoneticPr fontId="2" type="noConversion"/>
  </si>
  <si>
    <t>W</t>
    <phoneticPr fontId="2" type="noConversion"/>
  </si>
  <si>
    <t>DEV本機環境</t>
    <phoneticPr fontId="2" type="noConversion"/>
  </si>
  <si>
    <t>----</t>
  </si>
  <si>
    <t>--------</t>
  </si>
  <si>
    <t>----------</t>
  </si>
  <si>
    <t>進行中</t>
  </si>
  <si>
    <t>docker檢查</t>
    <phoneticPr fontId="2" type="noConversion"/>
  </si>
  <si>
    <t>m:ct</t>
    <phoneticPr fontId="2" type="noConversion"/>
  </si>
  <si>
    <t>cu:du</t>
    <phoneticPr fontId="2" type="noConversion"/>
  </si>
  <si>
    <t>系統提案</t>
    <phoneticPr fontId="2" type="noConversion"/>
  </si>
  <si>
    <t>沒有用MS OUTLOOK</t>
    <phoneticPr fontId="2" type="noConversion"/>
  </si>
  <si>
    <t>Redis 不分區 雲地存取模式</t>
    <phoneticPr fontId="2" type="noConversion"/>
  </si>
  <si>
    <t>功能開發-修正補齊項目收集</t>
    <phoneticPr fontId="2" type="noConversion"/>
  </si>
  <si>
    <t>Q</t>
    <phoneticPr fontId="2" type="noConversion"/>
  </si>
  <si>
    <t>R</t>
    <phoneticPr fontId="2" type="noConversion"/>
  </si>
  <si>
    <t>C2</t>
    <phoneticPr fontId="2" type="noConversion"/>
  </si>
  <si>
    <t>C1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</si>
</sst>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0_);[Red]\(0\)"/>
    <numFmt numFmtId="178" formatCode="0000"/>
    <numFmt numFmtId="179" formatCode="m/d;@"/>
  </numFmts>
  <fonts count="20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indexed="9"/>
      <name val="新細明體"/>
      <family val="1"/>
      <charset val="136"/>
    </font>
    <font>
      <u/>
      <sz val="12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2"/>
      <color indexed="81"/>
      <name val="新細明體"/>
      <family val="1"/>
      <charset val="136"/>
    </font>
    <font>
      <b/>
      <sz val="11"/>
      <color indexed="81"/>
      <name val="新細明體"/>
      <family val="1"/>
      <charset val="136"/>
    </font>
    <font>
      <sz val="11"/>
      <color indexed="81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color indexed="8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000000"/>
      <name val="新細明體"/>
      <family val="1"/>
      <charset val="136"/>
    </font>
    <font>
      <i/>
      <sz val="12"/>
      <name val="新細明體"/>
      <family val="1"/>
      <charset val="136"/>
    </font>
    <font>
      <b/>
      <sz val="9"/>
      <color rgb="FF000000"/>
      <name val="新細明體"/>
      <family val="1"/>
      <charset val="136"/>
    </font>
    <font>
      <sz val="9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98">
    <xf numFmtId="0" fontId="0" fillId="0" borderId="0" xfId="0">
      <alignment vertical="center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177" fontId="0" fillId="0" borderId="0" xfId="0" applyNumberFormat="1">
      <alignment vertical="center"/>
    </xf>
    <xf numFmtId="176" fontId="5" fillId="2" borderId="1" xfId="0" applyNumberFormat="1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4" fillId="0" borderId="0" xfId="0" applyFont="1">
      <alignment vertical="center"/>
    </xf>
    <xf numFmtId="176" fontId="5" fillId="2" borderId="4" xfId="0" applyNumberFormat="1" applyFont="1" applyFill="1" applyBorder="1">
      <alignment vertical="center"/>
    </xf>
    <xf numFmtId="0" fontId="0" fillId="3" borderId="5" xfId="0" applyFill="1" applyBorder="1">
      <alignment vertical="center"/>
    </xf>
    <xf numFmtId="0" fontId="5" fillId="2" borderId="0" xfId="0" applyFont="1" applyFill="1">
      <alignment vertical="center"/>
    </xf>
    <xf numFmtId="0" fontId="5" fillId="2" borderId="1" xfId="0" applyFont="1" applyFill="1" applyBorder="1">
      <alignment vertical="center"/>
    </xf>
    <xf numFmtId="0" fontId="5" fillId="4" borderId="6" xfId="0" applyFont="1" applyFill="1" applyBorder="1">
      <alignment vertical="center"/>
    </xf>
    <xf numFmtId="178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9" fontId="0" fillId="0" borderId="0" xfId="0" applyNumberFormat="1" applyProtection="1">
      <alignment vertical="center"/>
      <protection locked="0"/>
    </xf>
    <xf numFmtId="177" fontId="6" fillId="0" borderId="0" xfId="0" applyNumberFormat="1" applyFont="1" applyProtection="1">
      <alignment vertical="center"/>
      <protection locked="0"/>
    </xf>
    <xf numFmtId="0" fontId="6" fillId="3" borderId="0" xfId="0" applyFont="1" applyFill="1" applyProtection="1">
      <alignment vertical="center"/>
      <protection locked="0"/>
    </xf>
    <xf numFmtId="14" fontId="0" fillId="3" borderId="5" xfId="0" applyNumberFormat="1" applyFill="1" applyBorder="1">
      <alignment vertical="center"/>
    </xf>
    <xf numFmtId="0" fontId="0" fillId="3" borderId="7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4" fillId="3" borderId="8" xfId="0" applyFont="1" applyFill="1" applyBorder="1">
      <alignment vertical="center"/>
    </xf>
    <xf numFmtId="0" fontId="0" fillId="3" borderId="9" xfId="0" applyFill="1" applyBorder="1">
      <alignment vertical="center"/>
    </xf>
    <xf numFmtId="0" fontId="4" fillId="3" borderId="10" xfId="0" applyFont="1" applyFill="1" applyBorder="1">
      <alignment vertical="center"/>
    </xf>
    <xf numFmtId="0" fontId="6" fillId="3" borderId="5" xfId="0" applyFont="1" applyFill="1" applyBorder="1" applyProtection="1">
      <alignment vertical="center"/>
      <protection locked="0"/>
    </xf>
    <xf numFmtId="0" fontId="0" fillId="3" borderId="11" xfId="0" applyFill="1" applyBorder="1">
      <alignment vertical="center"/>
    </xf>
    <xf numFmtId="14" fontId="0" fillId="3" borderId="4" xfId="0" applyNumberFormat="1" applyFill="1" applyBorder="1">
      <alignment vertical="center"/>
    </xf>
    <xf numFmtId="0" fontId="0" fillId="3" borderId="1" xfId="0" applyFill="1" applyBorder="1">
      <alignment vertical="center"/>
    </xf>
    <xf numFmtId="9" fontId="0" fillId="0" borderId="0" xfId="0" applyNumberFormat="1" applyProtection="1">
      <alignment vertical="center"/>
      <protection locked="0"/>
    </xf>
    <xf numFmtId="22" fontId="0" fillId="3" borderId="5" xfId="0" applyNumberFormat="1" applyFill="1" applyBorder="1" applyProtection="1">
      <alignment vertical="center"/>
      <protection locked="0"/>
    </xf>
    <xf numFmtId="177" fontId="1" fillId="5" borderId="5" xfId="0" applyNumberFormat="1" applyFont="1" applyFill="1" applyBorder="1" applyProtection="1">
      <alignment vertical="center"/>
      <protection locked="0"/>
    </xf>
    <xf numFmtId="0" fontId="4" fillId="3" borderId="12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left" vertical="center"/>
      <protection locked="0"/>
    </xf>
    <xf numFmtId="0" fontId="0" fillId="3" borderId="14" xfId="0" applyFill="1" applyBorder="1">
      <alignment vertical="center"/>
    </xf>
    <xf numFmtId="0" fontId="4" fillId="3" borderId="15" xfId="0" applyFont="1" applyFill="1" applyBorder="1" applyAlignment="1">
      <alignment vertical="center" wrapText="1"/>
    </xf>
    <xf numFmtId="0" fontId="6" fillId="3" borderId="16" xfId="0" applyFont="1" applyFill="1" applyBorder="1" applyAlignment="1" applyProtection="1">
      <alignment horizontal="left" vertical="center"/>
      <protection locked="0"/>
    </xf>
    <xf numFmtId="0" fontId="0" fillId="3" borderId="17" xfId="0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18" xfId="0" applyFont="1" applyFill="1" applyBorder="1">
      <alignment vertical="center"/>
    </xf>
    <xf numFmtId="0" fontId="0" fillId="3" borderId="17" xfId="0" applyFill="1" applyBorder="1" applyAlignment="1">
      <alignment vertical="center" wrapText="1"/>
    </xf>
    <xf numFmtId="176" fontId="5" fillId="6" borderId="7" xfId="0" applyNumberFormat="1" applyFont="1" applyFill="1" applyBorder="1">
      <alignment vertical="center"/>
    </xf>
    <xf numFmtId="176" fontId="5" fillId="6" borderId="4" xfId="0" applyNumberFormat="1" applyFont="1" applyFill="1" applyBorder="1">
      <alignment vertical="center"/>
    </xf>
    <xf numFmtId="176" fontId="5" fillId="6" borderId="19" xfId="0" applyNumberFormat="1" applyFont="1" applyFill="1" applyBorder="1">
      <alignment vertical="center"/>
    </xf>
    <xf numFmtId="176" fontId="5" fillId="6" borderId="3" xfId="0" applyNumberFormat="1" applyFont="1" applyFill="1" applyBorder="1">
      <alignment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78" fontId="0" fillId="7" borderId="4" xfId="0" applyNumberFormat="1" applyFill="1" applyBorder="1">
      <alignment vertical="center"/>
    </xf>
    <xf numFmtId="178" fontId="1" fillId="7" borderId="4" xfId="0" applyNumberFormat="1" applyFont="1" applyFill="1" applyBorder="1" applyProtection="1">
      <alignment vertical="center"/>
      <protection locked="0"/>
    </xf>
    <xf numFmtId="0" fontId="0" fillId="7" borderId="4" xfId="0" applyFill="1" applyBorder="1" applyProtection="1">
      <alignment vertical="center"/>
      <protection locked="0"/>
    </xf>
    <xf numFmtId="179" fontId="0" fillId="7" borderId="4" xfId="0" applyNumberFormat="1" applyFill="1" applyBorder="1" applyProtection="1">
      <alignment vertical="center"/>
      <protection locked="0"/>
    </xf>
    <xf numFmtId="9" fontId="0" fillId="7" borderId="4" xfId="0" applyNumberFormat="1" applyFill="1" applyBorder="1" applyProtection="1">
      <alignment vertical="center"/>
      <protection locked="0"/>
    </xf>
    <xf numFmtId="178" fontId="0" fillId="7" borderId="4" xfId="0" applyNumberFormat="1" applyFill="1" applyBorder="1" applyProtection="1">
      <alignment vertical="center"/>
      <protection locked="0"/>
    </xf>
    <xf numFmtId="1" fontId="0" fillId="7" borderId="4" xfId="0" applyNumberFormat="1" applyFill="1" applyBorder="1" applyProtection="1">
      <alignment vertical="center"/>
      <protection locked="0"/>
    </xf>
    <xf numFmtId="1" fontId="0" fillId="7" borderId="6" xfId="0" applyNumberFormat="1" applyFill="1" applyBorder="1" applyProtection="1">
      <alignment vertical="center"/>
      <protection locked="0"/>
    </xf>
    <xf numFmtId="0" fontId="0" fillId="7" borderId="4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14" xfId="0" applyFill="1" applyBorder="1" applyAlignment="1">
      <alignment vertical="center" wrapText="1"/>
    </xf>
    <xf numFmtId="14" fontId="6" fillId="3" borderId="13" xfId="0" applyNumberFormat="1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>
      <alignment vertical="center" wrapText="1"/>
    </xf>
    <xf numFmtId="14" fontId="6" fillId="3" borderId="16" xfId="0" applyNumberFormat="1" applyFont="1" applyFill="1" applyBorder="1" applyAlignment="1" applyProtection="1">
      <alignment horizontal="left" vertical="center"/>
      <protection locked="0"/>
    </xf>
    <xf numFmtId="0" fontId="6" fillId="3" borderId="16" xfId="0" applyFont="1" applyFill="1" applyBorder="1" applyAlignment="1">
      <alignment horizontal="left" vertical="center" wrapText="1"/>
    </xf>
    <xf numFmtId="0" fontId="0" fillId="0" borderId="9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8" borderId="0" xfId="0" applyFont="1" applyFill="1">
      <alignment vertical="center"/>
    </xf>
    <xf numFmtId="0" fontId="12" fillId="0" borderId="0" xfId="3" applyFont="1" applyAlignment="1" applyProtection="1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0" fillId="0" borderId="1" xfId="0" applyBorder="1" applyAlignment="1">
      <alignment horizontal="left" vertical="top" wrapText="1"/>
    </xf>
    <xf numFmtId="0" fontId="15" fillId="8" borderId="0" xfId="0" applyFont="1" applyFill="1">
      <alignment vertical="center"/>
    </xf>
    <xf numFmtId="0" fontId="13" fillId="9" borderId="0" xfId="0" applyFont="1" applyFill="1">
      <alignment vertical="center"/>
    </xf>
    <xf numFmtId="179" fontId="0" fillId="0" borderId="0" xfId="0" applyNumberFormat="1" applyAlignment="1" applyProtection="1">
      <alignment horizontal="left" vertical="center" indent="1"/>
      <protection locked="0"/>
    </xf>
    <xf numFmtId="179" fontId="0" fillId="0" borderId="0" xfId="0" applyNumberFormat="1" applyAlignment="1" applyProtection="1">
      <alignment horizontal="left" vertical="center" indent="2"/>
      <protection locked="0"/>
    </xf>
    <xf numFmtId="178" fontId="4" fillId="0" borderId="0" xfId="1" applyNumberFormat="1" applyProtection="1">
      <alignment vertical="center"/>
      <protection locked="0"/>
    </xf>
    <xf numFmtId="179" fontId="4" fillId="0" borderId="0" xfId="1" applyNumberFormat="1" applyProtection="1">
      <alignment vertical="center"/>
      <protection locked="0"/>
    </xf>
    <xf numFmtId="9" fontId="4" fillId="0" borderId="0" xfId="1" applyNumberFormat="1" applyProtection="1">
      <alignment vertical="center"/>
      <protection locked="0"/>
    </xf>
    <xf numFmtId="0" fontId="4" fillId="0" borderId="0" xfId="1" applyProtection="1">
      <alignment vertical="center"/>
      <protection locked="0"/>
    </xf>
    <xf numFmtId="0" fontId="4" fillId="0" borderId="9" xfId="1" applyBorder="1" applyProtection="1">
      <alignment vertical="center"/>
      <protection locked="0"/>
    </xf>
    <xf numFmtId="0" fontId="4" fillId="0" borderId="0" xfId="1">
      <alignment vertical="center"/>
    </xf>
    <xf numFmtId="179" fontId="17" fillId="0" borderId="0" xfId="2" applyNumberFormat="1" applyAlignment="1" applyProtection="1">
      <alignment horizontal="left" vertical="center" indent="1"/>
      <protection locked="0"/>
    </xf>
    <xf numFmtId="179" fontId="17" fillId="0" borderId="0" xfId="2" applyNumberFormat="1" applyProtection="1">
      <alignment vertical="center"/>
      <protection locked="0"/>
    </xf>
    <xf numFmtId="9" fontId="17" fillId="0" borderId="0" xfId="2" applyNumberFormat="1" applyProtection="1">
      <alignment vertical="center"/>
      <protection locked="0"/>
    </xf>
    <xf numFmtId="0" fontId="17" fillId="0" borderId="0" xfId="2" applyProtection="1">
      <alignment vertical="center"/>
      <protection locked="0"/>
    </xf>
    <xf numFmtId="0" fontId="17" fillId="0" borderId="9" xfId="2" applyBorder="1" applyProtection="1">
      <alignment vertical="center"/>
      <protection locked="0"/>
    </xf>
    <xf numFmtId="0" fontId="17" fillId="0" borderId="0" xfId="2">
      <alignment vertical="center"/>
    </xf>
    <xf numFmtId="179" fontId="4" fillId="0" borderId="0" xfId="1" applyNumberFormat="1" applyFill="1" applyProtection="1">
      <alignment vertical="center"/>
      <protection locked="0"/>
    </xf>
    <xf numFmtId="0" fontId="0" fillId="0" borderId="4" xfId="0" applyBorder="1" applyAlignment="1">
      <alignment horizontal="left" vertical="top" wrapText="1"/>
    </xf>
    <xf numFmtId="14" fontId="0" fillId="3" borderId="5" xfId="0" applyNumberForma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4">
    <cellStyle name="一般" xfId="0" builtinId="0"/>
    <cellStyle name="大綱列_1" xfId="1" builtinId="1" iLevel="0"/>
    <cellStyle name="大綱列_2" xfId="2" builtinId="1" iLevel="1"/>
    <cellStyle name="超連結" xfId="3" builtinId="8"/>
  </cellStyles>
  <dxfs count="19"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43"/>
        </patternFill>
      </fill>
      <border>
        <left style="dotted">
          <color indexed="64"/>
        </left>
      </border>
    </dxf>
    <dxf>
      <font>
        <condense val="0"/>
        <extend val="0"/>
        <color auto="1"/>
      </font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22"/>
        </patternFill>
      </fill>
    </dxf>
    <dxf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6"/>
        </patternFill>
      </fill>
    </dxf>
    <dxf>
      <fill>
        <patternFill>
          <bgColor indexed="23"/>
        </patternFill>
      </fill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</xdr:colOff>
      <xdr:row>125</xdr:row>
      <xdr:rowOff>0</xdr:rowOff>
    </xdr:from>
    <xdr:to>
      <xdr:col>12</xdr:col>
      <xdr:colOff>482600</xdr:colOff>
      <xdr:row>150</xdr:row>
      <xdr:rowOff>177800</xdr:rowOff>
    </xdr:to>
    <xdr:pic>
      <xdr:nvPicPr>
        <xdr:cNvPr id="17481" name="Picture 73" descr="SNAG00000">
          <a:extLst>
            <a:ext uri="{FF2B5EF4-FFF2-40B4-BE49-F238E27FC236}">
              <a16:creationId xmlns:a16="http://schemas.microsoft.com/office/drawing/2014/main" id="{00000000-0008-0000-0000-000049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00" y="23050500"/>
          <a:ext cx="7493000" cy="49403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51</xdr:row>
      <xdr:rowOff>38100</xdr:rowOff>
    </xdr:from>
    <xdr:to>
      <xdr:col>8</xdr:col>
      <xdr:colOff>622300</xdr:colOff>
      <xdr:row>70</xdr:row>
      <xdr:rowOff>0</xdr:rowOff>
    </xdr:to>
    <xdr:pic>
      <xdr:nvPicPr>
        <xdr:cNvPr id="17478" name="Picture 70" descr="未命名">
          <a:extLst>
            <a:ext uri="{FF2B5EF4-FFF2-40B4-BE49-F238E27FC236}">
              <a16:creationId xmlns:a16="http://schemas.microsoft.com/office/drawing/2014/main" id="{00000000-0008-0000-0000-000046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991600"/>
          <a:ext cx="5892800" cy="3581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254000</xdr:colOff>
      <xdr:row>31</xdr:row>
      <xdr:rowOff>101600</xdr:rowOff>
    </xdr:from>
    <xdr:to>
      <xdr:col>9</xdr:col>
      <xdr:colOff>342900</xdr:colOff>
      <xdr:row>47</xdr:row>
      <xdr:rowOff>38100</xdr:rowOff>
    </xdr:to>
    <xdr:pic>
      <xdr:nvPicPr>
        <xdr:cNvPr id="17421" name="Picture 13">
          <a:extLst>
            <a:ext uri="{FF2B5EF4-FFF2-40B4-BE49-F238E27FC236}">
              <a16:creationId xmlns:a16="http://schemas.microsoft.com/office/drawing/2014/main" id="{00000000-0008-0000-0000-00000D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5245100"/>
          <a:ext cx="6146800" cy="2984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63500</xdr:colOff>
      <xdr:row>31</xdr:row>
      <xdr:rowOff>12700</xdr:rowOff>
    </xdr:from>
    <xdr:to>
      <xdr:col>9</xdr:col>
      <xdr:colOff>546100</xdr:colOff>
      <xdr:row>34</xdr:row>
      <xdr:rowOff>101600</xdr:rowOff>
    </xdr:to>
    <xdr:sp macro="" textlink="">
      <xdr:nvSpPr>
        <xdr:cNvPr id="17410" name="Rectangle 2">
          <a:extLst>
            <a:ext uri="{FF2B5EF4-FFF2-40B4-BE49-F238E27FC236}">
              <a16:creationId xmlns:a16="http://schemas.microsoft.com/office/drawing/2014/main" id="{00000000-0008-0000-0000-000002440000}"/>
            </a:ext>
          </a:extLst>
        </xdr:cNvPr>
        <xdr:cNvSpPr>
          <a:spLocks noChangeArrowheads="1"/>
        </xdr:cNvSpPr>
      </xdr:nvSpPr>
      <xdr:spPr bwMode="auto">
        <a:xfrm>
          <a:off x="63500" y="5156200"/>
          <a:ext cx="6540500" cy="6604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A</a:t>
          </a:r>
        </a:p>
      </xdr:txBody>
    </xdr:sp>
    <xdr:clientData/>
  </xdr:twoCellAnchor>
  <xdr:twoCellAnchor>
    <xdr:from>
      <xdr:col>0</xdr:col>
      <xdr:colOff>101600</xdr:colOff>
      <xdr:row>34</xdr:row>
      <xdr:rowOff>177800</xdr:rowOff>
    </xdr:from>
    <xdr:to>
      <xdr:col>9</xdr:col>
      <xdr:colOff>558800</xdr:colOff>
      <xdr:row>37</xdr:row>
      <xdr:rowOff>101600</xdr:rowOff>
    </xdr:to>
    <xdr:sp macro="" textlink="">
      <xdr:nvSpPr>
        <xdr:cNvPr id="17411" name="Rectangle 3">
          <a:extLst>
            <a:ext uri="{FF2B5EF4-FFF2-40B4-BE49-F238E27FC236}">
              <a16:creationId xmlns:a16="http://schemas.microsoft.com/office/drawing/2014/main" id="{00000000-0008-0000-0000-000003440000}"/>
            </a:ext>
          </a:extLst>
        </xdr:cNvPr>
        <xdr:cNvSpPr>
          <a:spLocks noChangeArrowheads="1"/>
        </xdr:cNvSpPr>
      </xdr:nvSpPr>
      <xdr:spPr bwMode="auto">
        <a:xfrm>
          <a:off x="101600" y="5892800"/>
          <a:ext cx="6515100" cy="4953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B</a:t>
          </a:r>
        </a:p>
      </xdr:txBody>
    </xdr:sp>
    <xdr:clientData/>
  </xdr:twoCellAnchor>
  <xdr:twoCellAnchor>
    <xdr:from>
      <xdr:col>0</xdr:col>
      <xdr:colOff>50800</xdr:colOff>
      <xdr:row>37</xdr:row>
      <xdr:rowOff>76200</xdr:rowOff>
    </xdr:from>
    <xdr:to>
      <xdr:col>5</xdr:col>
      <xdr:colOff>571500</xdr:colOff>
      <xdr:row>47</xdr:row>
      <xdr:rowOff>152400</xdr:rowOff>
    </xdr:to>
    <xdr:sp macro="" textlink="">
      <xdr:nvSpPr>
        <xdr:cNvPr id="17412" name="Rectangle 4">
          <a:extLst>
            <a:ext uri="{FF2B5EF4-FFF2-40B4-BE49-F238E27FC236}">
              <a16:creationId xmlns:a16="http://schemas.microsoft.com/office/drawing/2014/main" id="{00000000-0008-0000-0000-000004440000}"/>
            </a:ext>
          </a:extLst>
        </xdr:cNvPr>
        <xdr:cNvSpPr>
          <a:spLocks noChangeArrowheads="1"/>
        </xdr:cNvSpPr>
      </xdr:nvSpPr>
      <xdr:spPr bwMode="auto">
        <a:xfrm>
          <a:off x="50800" y="6362700"/>
          <a:ext cx="3886200" cy="19812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C</a:t>
          </a:r>
        </a:p>
      </xdr:txBody>
    </xdr:sp>
    <xdr:clientData/>
  </xdr:twoCellAnchor>
  <xdr:twoCellAnchor>
    <xdr:from>
      <xdr:col>5</xdr:col>
      <xdr:colOff>622300</xdr:colOff>
      <xdr:row>37</xdr:row>
      <xdr:rowOff>114300</xdr:rowOff>
    </xdr:from>
    <xdr:to>
      <xdr:col>9</xdr:col>
      <xdr:colOff>444500</xdr:colOff>
      <xdr:row>47</xdr:row>
      <xdr:rowOff>127000</xdr:rowOff>
    </xdr:to>
    <xdr:sp macro="" textlink="">
      <xdr:nvSpPr>
        <xdr:cNvPr id="17413" name="Rectangle 5">
          <a:extLst>
            <a:ext uri="{FF2B5EF4-FFF2-40B4-BE49-F238E27FC236}">
              <a16:creationId xmlns:a16="http://schemas.microsoft.com/office/drawing/2014/main" id="{00000000-0008-0000-0000-000005440000}"/>
            </a:ext>
          </a:extLst>
        </xdr:cNvPr>
        <xdr:cNvSpPr>
          <a:spLocks noChangeArrowheads="1"/>
        </xdr:cNvSpPr>
      </xdr:nvSpPr>
      <xdr:spPr bwMode="auto">
        <a:xfrm>
          <a:off x="3987800" y="6400800"/>
          <a:ext cx="2514600" cy="19177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D</a:t>
          </a:r>
        </a:p>
      </xdr:txBody>
    </xdr:sp>
    <xdr:clientData/>
  </xdr:twoCellAnchor>
  <xdr:twoCellAnchor>
    <xdr:from>
      <xdr:col>2</xdr:col>
      <xdr:colOff>139700</xdr:colOff>
      <xdr:row>50</xdr:row>
      <xdr:rowOff>177800</xdr:rowOff>
    </xdr:from>
    <xdr:to>
      <xdr:col>10</xdr:col>
      <xdr:colOff>12700</xdr:colOff>
      <xdr:row>54</xdr:row>
      <xdr:rowOff>127000</xdr:rowOff>
    </xdr:to>
    <xdr:sp macro="" textlink="">
      <xdr:nvSpPr>
        <xdr:cNvPr id="17416" name="Freeform 8">
          <a:extLst>
            <a:ext uri="{FF2B5EF4-FFF2-40B4-BE49-F238E27FC236}">
              <a16:creationId xmlns:a16="http://schemas.microsoft.com/office/drawing/2014/main" id="{00000000-0008-0000-0000-000008440000}"/>
            </a:ext>
          </a:extLst>
        </xdr:cNvPr>
        <xdr:cNvSpPr>
          <a:spLocks/>
        </xdr:cNvSpPr>
      </xdr:nvSpPr>
      <xdr:spPr bwMode="auto">
        <a:xfrm>
          <a:off x="1485900" y="8940800"/>
          <a:ext cx="5257800" cy="711200"/>
        </a:xfrm>
        <a:custGeom>
          <a:avLst/>
          <a:gdLst>
            <a:gd name="T0" fmla="*/ 562 w 562"/>
            <a:gd name="T1" fmla="*/ 83 h 83"/>
            <a:gd name="T2" fmla="*/ 534 w 562"/>
            <a:gd name="T3" fmla="*/ 0 h 83"/>
            <a:gd name="T4" fmla="*/ 126 w 562"/>
            <a:gd name="T5" fmla="*/ 3 h 83"/>
            <a:gd name="T6" fmla="*/ 0 w 562"/>
            <a:gd name="T7" fmla="*/ 66 h 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62" h="83">
              <a:moveTo>
                <a:pt x="562" y="83"/>
              </a:moveTo>
              <a:lnTo>
                <a:pt x="534" y="0"/>
              </a:lnTo>
              <a:lnTo>
                <a:pt x="126" y="3"/>
              </a:lnTo>
              <a:lnTo>
                <a:pt x="0" y="66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</xdr:col>
      <xdr:colOff>190500</xdr:colOff>
      <xdr:row>58</xdr:row>
      <xdr:rowOff>63500</xdr:rowOff>
    </xdr:from>
    <xdr:to>
      <xdr:col>10</xdr:col>
      <xdr:colOff>0</xdr:colOff>
      <xdr:row>63</xdr:row>
      <xdr:rowOff>76200</xdr:rowOff>
    </xdr:to>
    <xdr:sp macro="" textlink="">
      <xdr:nvSpPr>
        <xdr:cNvPr id="17418" name="Freeform 10">
          <a:extLst>
            <a:ext uri="{FF2B5EF4-FFF2-40B4-BE49-F238E27FC236}">
              <a16:creationId xmlns:a16="http://schemas.microsoft.com/office/drawing/2014/main" id="{00000000-0008-0000-0000-00000A440000}"/>
            </a:ext>
          </a:extLst>
        </xdr:cNvPr>
        <xdr:cNvSpPr>
          <a:spLocks/>
        </xdr:cNvSpPr>
      </xdr:nvSpPr>
      <xdr:spPr bwMode="auto">
        <a:xfrm>
          <a:off x="863600" y="10350500"/>
          <a:ext cx="5867400" cy="965200"/>
        </a:xfrm>
        <a:custGeom>
          <a:avLst/>
          <a:gdLst>
            <a:gd name="T0" fmla="*/ 627 w 627"/>
            <a:gd name="T1" fmla="*/ 0 h 111"/>
            <a:gd name="T2" fmla="*/ 184 w 627"/>
            <a:gd name="T3" fmla="*/ 8 h 111"/>
            <a:gd name="T4" fmla="*/ 0 w 627"/>
            <a:gd name="T5" fmla="*/ 111 h 1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627" h="111">
              <a:moveTo>
                <a:pt x="627" y="0"/>
              </a:moveTo>
              <a:lnTo>
                <a:pt x="184" y="8"/>
              </a:lnTo>
              <a:lnTo>
                <a:pt x="0" y="111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7</xdr:col>
      <xdr:colOff>63500</xdr:colOff>
      <xdr:row>62</xdr:row>
      <xdr:rowOff>101600</xdr:rowOff>
    </xdr:from>
    <xdr:to>
      <xdr:col>10</xdr:col>
      <xdr:colOff>12700</xdr:colOff>
      <xdr:row>64</xdr:row>
      <xdr:rowOff>38100</xdr:rowOff>
    </xdr:to>
    <xdr:sp macro="" textlink="">
      <xdr:nvSpPr>
        <xdr:cNvPr id="17419" name="Freeform 11">
          <a:extLs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>
          <a:spLocks/>
        </xdr:cNvSpPr>
      </xdr:nvSpPr>
      <xdr:spPr bwMode="auto">
        <a:xfrm>
          <a:off x="4775200" y="11150600"/>
          <a:ext cx="1968500" cy="317500"/>
        </a:xfrm>
        <a:custGeom>
          <a:avLst/>
          <a:gdLst>
            <a:gd name="T0" fmla="*/ 210 w 210"/>
            <a:gd name="T1" fmla="*/ 37 h 37"/>
            <a:gd name="T2" fmla="*/ 200 w 210"/>
            <a:gd name="T3" fmla="*/ 1 h 37"/>
            <a:gd name="T4" fmla="*/ 30 w 210"/>
            <a:gd name="T5" fmla="*/ 0 h 37"/>
            <a:gd name="T6" fmla="*/ 0 w 210"/>
            <a:gd name="T7" fmla="*/ 20 h 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10" h="37">
              <a:moveTo>
                <a:pt x="210" y="37"/>
              </a:moveTo>
              <a:lnTo>
                <a:pt x="200" y="1"/>
              </a:lnTo>
              <a:lnTo>
                <a:pt x="30" y="0"/>
              </a:lnTo>
              <a:lnTo>
                <a:pt x="0" y="2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73</xdr:row>
      <xdr:rowOff>165100</xdr:rowOff>
    </xdr:from>
    <xdr:to>
      <xdr:col>9</xdr:col>
      <xdr:colOff>127000</xdr:colOff>
      <xdr:row>88</xdr:row>
      <xdr:rowOff>114300</xdr:rowOff>
    </xdr:to>
    <xdr:pic>
      <xdr:nvPicPr>
        <xdr:cNvPr id="17422" name="Picture 14">
          <a:extLst>
            <a:ext uri="{FF2B5EF4-FFF2-40B4-BE49-F238E27FC236}">
              <a16:creationId xmlns:a16="http://schemas.microsoft.com/office/drawing/2014/main" id="{00000000-0008-0000-0000-00000E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3309600"/>
          <a:ext cx="5740400" cy="280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76200</xdr:colOff>
      <xdr:row>75</xdr:row>
      <xdr:rowOff>63500</xdr:rowOff>
    </xdr:from>
    <xdr:to>
      <xdr:col>9</xdr:col>
      <xdr:colOff>584200</xdr:colOff>
      <xdr:row>76</xdr:row>
      <xdr:rowOff>0</xdr:rowOff>
    </xdr:to>
    <xdr:sp macro="" textlink="">
      <xdr:nvSpPr>
        <xdr:cNvPr id="17423" name="Line 15">
          <a:extLst>
            <a:ext uri="{FF2B5EF4-FFF2-40B4-BE49-F238E27FC236}">
              <a16:creationId xmlns:a16="http://schemas.microsoft.com/office/drawing/2014/main" id="{00000000-0008-0000-0000-00000F440000}"/>
            </a:ext>
          </a:extLst>
        </xdr:cNvPr>
        <xdr:cNvSpPr>
          <a:spLocks noChangeShapeType="1"/>
        </xdr:cNvSpPr>
      </xdr:nvSpPr>
      <xdr:spPr bwMode="auto">
        <a:xfrm flipH="1">
          <a:off x="6134100" y="13589000"/>
          <a:ext cx="5080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92</xdr:row>
      <xdr:rowOff>76200</xdr:rowOff>
    </xdr:from>
    <xdr:to>
      <xdr:col>8</xdr:col>
      <xdr:colOff>469900</xdr:colOff>
      <xdr:row>101</xdr:row>
      <xdr:rowOff>12700</xdr:rowOff>
    </xdr:to>
    <xdr:pic>
      <xdr:nvPicPr>
        <xdr:cNvPr id="17425" name="Picture 17">
          <a:extLst>
            <a:ext uri="{FF2B5EF4-FFF2-40B4-BE49-F238E27FC236}">
              <a16:creationId xmlns:a16="http://schemas.microsoft.com/office/drawing/2014/main" id="{00000000-0008-0000-0000-000011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6840200"/>
          <a:ext cx="5410200" cy="1651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12700</xdr:colOff>
      <xdr:row>106</xdr:row>
      <xdr:rowOff>0</xdr:rowOff>
    </xdr:from>
    <xdr:to>
      <xdr:col>9</xdr:col>
      <xdr:colOff>368300</xdr:colOff>
      <xdr:row>120</xdr:row>
      <xdr:rowOff>139700</xdr:rowOff>
    </xdr:to>
    <xdr:pic>
      <xdr:nvPicPr>
        <xdr:cNvPr id="17426" name="Picture 18" descr="SNAG00000">
          <a:extLs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431000"/>
          <a:ext cx="5740400" cy="28067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101600</xdr:colOff>
      <xdr:row>106</xdr:row>
      <xdr:rowOff>0</xdr:rowOff>
    </xdr:from>
    <xdr:to>
      <xdr:col>19</xdr:col>
      <xdr:colOff>393700</xdr:colOff>
      <xdr:row>113</xdr:row>
      <xdr:rowOff>76200</xdr:rowOff>
    </xdr:to>
    <xdr:pic>
      <xdr:nvPicPr>
        <xdr:cNvPr id="17427" name="Picture 19" descr="SNAG00001">
          <a:extLst>
            <a:ext uri="{FF2B5EF4-FFF2-40B4-BE49-F238E27FC236}">
              <a16:creationId xmlns:a16="http://schemas.microsoft.com/office/drawing/2014/main" id="{00000000-0008-0000-0000-000013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2600" y="19431000"/>
          <a:ext cx="5651500" cy="14097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63500</xdr:colOff>
      <xdr:row>110</xdr:row>
      <xdr:rowOff>63500</xdr:rowOff>
    </xdr:from>
    <xdr:to>
      <xdr:col>17</xdr:col>
      <xdr:colOff>139700</xdr:colOff>
      <xdr:row>116</xdr:row>
      <xdr:rowOff>0</xdr:rowOff>
    </xdr:to>
    <xdr:sp macro="" textlink="">
      <xdr:nvSpPr>
        <xdr:cNvPr id="17429" name="Freeform 21">
          <a:extLst>
            <a:ext uri="{FF2B5EF4-FFF2-40B4-BE49-F238E27FC236}">
              <a16:creationId xmlns:a16="http://schemas.microsoft.com/office/drawing/2014/main" id="{00000000-0008-0000-0000-000015440000}"/>
            </a:ext>
          </a:extLst>
        </xdr:cNvPr>
        <xdr:cNvSpPr>
          <a:spLocks/>
        </xdr:cNvSpPr>
      </xdr:nvSpPr>
      <xdr:spPr bwMode="auto">
        <a:xfrm>
          <a:off x="2082800" y="20256500"/>
          <a:ext cx="8801100" cy="1079500"/>
        </a:xfrm>
        <a:custGeom>
          <a:avLst/>
          <a:gdLst>
            <a:gd name="T0" fmla="*/ 940 w 940"/>
            <a:gd name="T1" fmla="*/ 28 h 125"/>
            <a:gd name="T2" fmla="*/ 940 w 940"/>
            <a:gd name="T3" fmla="*/ 125 h 125"/>
            <a:gd name="T4" fmla="*/ 0 w 940"/>
            <a:gd name="T5" fmla="*/ 123 h 125"/>
            <a:gd name="T6" fmla="*/ 1 w 940"/>
            <a:gd name="T7" fmla="*/ 0 h 12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940" h="125">
              <a:moveTo>
                <a:pt x="940" y="28"/>
              </a:moveTo>
              <a:lnTo>
                <a:pt x="940" y="125"/>
              </a:lnTo>
              <a:lnTo>
                <a:pt x="0" y="123"/>
              </a:lnTo>
              <a:lnTo>
                <a:pt x="1" y="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2</xdr:col>
      <xdr:colOff>482600</xdr:colOff>
      <xdr:row>110</xdr:row>
      <xdr:rowOff>76200</xdr:rowOff>
    </xdr:from>
    <xdr:to>
      <xdr:col>2</xdr:col>
      <xdr:colOff>508000</xdr:colOff>
      <xdr:row>132</xdr:row>
      <xdr:rowOff>101600</xdr:rowOff>
    </xdr:to>
    <xdr:sp macro="" textlink="">
      <xdr:nvSpPr>
        <xdr:cNvPr id="17430" name="Line 22">
          <a:extLst>
            <a:ext uri="{FF2B5EF4-FFF2-40B4-BE49-F238E27FC236}">
              <a16:creationId xmlns:a16="http://schemas.microsoft.com/office/drawing/2014/main" id="{00000000-0008-0000-0000-000016440000}"/>
            </a:ext>
          </a:extLst>
        </xdr:cNvPr>
        <xdr:cNvSpPr>
          <a:spLocks noChangeShapeType="1"/>
        </xdr:cNvSpPr>
      </xdr:nvSpPr>
      <xdr:spPr bwMode="auto">
        <a:xfrm flipH="1">
          <a:off x="1828800" y="20269200"/>
          <a:ext cx="25400" cy="4216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3</xdr:col>
      <xdr:colOff>190500</xdr:colOff>
      <xdr:row>111</xdr:row>
      <xdr:rowOff>12700</xdr:rowOff>
    </xdr:from>
    <xdr:to>
      <xdr:col>11</xdr:col>
      <xdr:colOff>50800</xdr:colOff>
      <xdr:row>141</xdr:row>
      <xdr:rowOff>177800</xdr:rowOff>
    </xdr:to>
    <xdr:sp macro="" textlink="">
      <xdr:nvSpPr>
        <xdr:cNvPr id="17431" name="Freeform 23">
          <a:extLst>
            <a:ext uri="{FF2B5EF4-FFF2-40B4-BE49-F238E27FC236}">
              <a16:creationId xmlns:a16="http://schemas.microsoft.com/office/drawing/2014/main" id="{00000000-0008-0000-0000-000017440000}"/>
            </a:ext>
          </a:extLst>
        </xdr:cNvPr>
        <xdr:cNvSpPr>
          <a:spLocks/>
        </xdr:cNvSpPr>
      </xdr:nvSpPr>
      <xdr:spPr bwMode="auto">
        <a:xfrm>
          <a:off x="2209800" y="20396200"/>
          <a:ext cx="4889500" cy="5880100"/>
        </a:xfrm>
        <a:custGeom>
          <a:avLst/>
          <a:gdLst>
            <a:gd name="T0" fmla="*/ 523 w 523"/>
            <a:gd name="T1" fmla="*/ 0 h 679"/>
            <a:gd name="T2" fmla="*/ 221 w 523"/>
            <a:gd name="T3" fmla="*/ 631 h 679"/>
            <a:gd name="T4" fmla="*/ 0 w 523"/>
            <a:gd name="T5" fmla="*/ 679 h 67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523" h="679">
              <a:moveTo>
                <a:pt x="523" y="0"/>
              </a:moveTo>
              <a:lnTo>
                <a:pt x="221" y="631"/>
              </a:lnTo>
              <a:lnTo>
                <a:pt x="0" y="679"/>
              </a:lnTo>
            </a:path>
          </a:pathLst>
        </a:cu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6</xdr:col>
      <xdr:colOff>266700</xdr:colOff>
      <xdr:row>122</xdr:row>
      <xdr:rowOff>25400</xdr:rowOff>
    </xdr:from>
    <xdr:ext cx="5185833" cy="224366"/>
    <xdr:sp macro="" textlink="">
      <xdr:nvSpPr>
        <xdr:cNvPr id="17432" name="Text Box 24">
          <a:extLst>
            <a:ext uri="{FF2B5EF4-FFF2-40B4-BE49-F238E27FC236}">
              <a16:creationId xmlns:a16="http://schemas.microsoft.com/office/drawing/2014/main" id="{00000000-0008-0000-0000-000018440000}"/>
            </a:ext>
          </a:extLst>
        </xdr:cNvPr>
        <xdr:cNvSpPr txBox="1">
          <a:spLocks noChangeArrowheads="1"/>
        </xdr:cNvSpPr>
      </xdr:nvSpPr>
      <xdr:spPr bwMode="auto">
        <a:xfrm>
          <a:off x="4305300" y="22504400"/>
          <a:ext cx="51435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[Fn]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寄信給負責人功能，會將點選位置所屬行的工作簡要說明附到信件裡</a:t>
          </a:r>
        </a:p>
      </xdr:txBody>
    </xdr:sp>
    <xdr:clientData/>
  </xdr:oneCellAnchor>
  <xdr:oneCellAnchor>
    <xdr:from>
      <xdr:col>3</xdr:col>
      <xdr:colOff>228600</xdr:colOff>
      <xdr:row>114</xdr:row>
      <xdr:rowOff>101600</xdr:rowOff>
    </xdr:from>
    <xdr:ext cx="4591017" cy="207749"/>
    <xdr:sp macro="" textlink="">
      <xdr:nvSpPr>
        <xdr:cNvPr id="17433" name="Text Box 25">
          <a:extLst>
            <a:ext uri="{FF2B5EF4-FFF2-40B4-BE49-F238E27FC236}">
              <a16:creationId xmlns:a16="http://schemas.microsoft.com/office/drawing/2014/main" id="{00000000-0008-0000-0000-000019440000}"/>
            </a:ext>
          </a:extLst>
        </xdr:cNvPr>
        <xdr:cNvSpPr txBox="1">
          <a:spLocks noChangeArrowheads="1"/>
        </xdr:cNvSpPr>
      </xdr:nvSpPr>
      <xdr:spPr bwMode="auto">
        <a:xfrm>
          <a:off x="2260600" y="20590933"/>
          <a:ext cx="4591017" cy="2077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若工作的負責人和簡稱有相同，則在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Mail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通知時會自動套用為收信者</a:t>
          </a:r>
        </a:p>
      </xdr:txBody>
    </xdr:sp>
    <xdr:clientData/>
  </xdr:oneCellAnchor>
  <xdr:oneCellAnchor>
    <xdr:from>
      <xdr:col>2</xdr:col>
      <xdr:colOff>25400</xdr:colOff>
      <xdr:row>121</xdr:row>
      <xdr:rowOff>152400</xdr:rowOff>
    </xdr:from>
    <xdr:ext cx="2501900" cy="220133"/>
    <xdr:sp macro="" textlink="">
      <xdr:nvSpPr>
        <xdr:cNvPr id="17434" name="Text Box 26">
          <a:extLst>
            <a:ext uri="{FF2B5EF4-FFF2-40B4-BE49-F238E27FC236}">
              <a16:creationId xmlns:a16="http://schemas.microsoft.com/office/drawing/2014/main" id="{00000000-0008-0000-0000-00001A440000}"/>
            </a:ext>
          </a:extLst>
        </xdr:cNvPr>
        <xdr:cNvSpPr txBox="1">
          <a:spLocks noChangeArrowheads="1"/>
        </xdr:cNvSpPr>
      </xdr:nvSpPr>
      <xdr:spPr bwMode="auto">
        <a:xfrm>
          <a:off x="1371600" y="22440900"/>
          <a:ext cx="24892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因為有兩個簡稱，就將兩個信箱加入</a:t>
          </a:r>
        </a:p>
      </xdr:txBody>
    </xdr:sp>
    <xdr:clientData/>
  </xdr:oneCellAnchor>
  <xdr:twoCellAnchor>
    <xdr:from>
      <xdr:col>9</xdr:col>
      <xdr:colOff>558800</xdr:colOff>
      <xdr:row>73</xdr:row>
      <xdr:rowOff>177800</xdr:rowOff>
    </xdr:from>
    <xdr:to>
      <xdr:col>10</xdr:col>
      <xdr:colOff>12700</xdr:colOff>
      <xdr:row>76</xdr:row>
      <xdr:rowOff>177800</xdr:rowOff>
    </xdr:to>
    <xdr:sp macro="" textlink="">
      <xdr:nvSpPr>
        <xdr:cNvPr id="17435" name="AutoShape 27">
          <a:extLst>
            <a:ext uri="{FF2B5EF4-FFF2-40B4-BE49-F238E27FC236}">
              <a16:creationId xmlns:a16="http://schemas.microsoft.com/office/drawing/2014/main" id="{00000000-0008-0000-0000-00001B440000}"/>
            </a:ext>
          </a:extLst>
        </xdr:cNvPr>
        <xdr:cNvSpPr>
          <a:spLocks/>
        </xdr:cNvSpPr>
      </xdr:nvSpPr>
      <xdr:spPr bwMode="auto">
        <a:xfrm>
          <a:off x="6616700" y="13322300"/>
          <a:ext cx="127000" cy="571500"/>
        </a:xfrm>
        <a:prstGeom prst="leftBrace">
          <a:avLst>
            <a:gd name="adj1" fmla="val 37500"/>
            <a:gd name="adj2" fmla="val 50000"/>
          </a:avLst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0</xdr:colOff>
      <xdr:row>94</xdr:row>
      <xdr:rowOff>63500</xdr:rowOff>
    </xdr:from>
    <xdr:to>
      <xdr:col>18</xdr:col>
      <xdr:colOff>190500</xdr:colOff>
      <xdr:row>94</xdr:row>
      <xdr:rowOff>63500</xdr:rowOff>
    </xdr:to>
    <xdr:sp macro="" textlink="">
      <xdr:nvSpPr>
        <xdr:cNvPr id="17436" name="Line 28">
          <a:extLst>
            <a:ext uri="{FF2B5EF4-FFF2-40B4-BE49-F238E27FC236}">
              <a16:creationId xmlns:a16="http://schemas.microsoft.com/office/drawing/2014/main" id="{00000000-0008-0000-0000-00001C440000}"/>
            </a:ext>
          </a:extLst>
        </xdr:cNvPr>
        <xdr:cNvSpPr>
          <a:spLocks noChangeShapeType="1"/>
        </xdr:cNvSpPr>
      </xdr:nvSpPr>
      <xdr:spPr bwMode="auto">
        <a:xfrm>
          <a:off x="7378700" y="172085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546100</xdr:colOff>
      <xdr:row>94</xdr:row>
      <xdr:rowOff>101600</xdr:rowOff>
    </xdr:from>
    <xdr:to>
      <xdr:col>13</xdr:col>
      <xdr:colOff>88900</xdr:colOff>
      <xdr:row>95</xdr:row>
      <xdr:rowOff>101600</xdr:rowOff>
    </xdr:to>
    <xdr:sp macro="" textlink="">
      <xdr:nvSpPr>
        <xdr:cNvPr id="17437" name="AutoShape 29">
          <a:extLst>
            <a:ext uri="{FF2B5EF4-FFF2-40B4-BE49-F238E27FC236}">
              <a16:creationId xmlns:a16="http://schemas.microsoft.com/office/drawing/2014/main" id="{00000000-0008-0000-0000-00001D440000}"/>
            </a:ext>
          </a:extLst>
        </xdr:cNvPr>
        <xdr:cNvSpPr>
          <a:spLocks noChangeArrowheads="1"/>
        </xdr:cNvSpPr>
      </xdr:nvSpPr>
      <xdr:spPr bwMode="auto">
        <a:xfrm>
          <a:off x="7924800" y="172466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12</xdr:col>
      <xdr:colOff>482600</xdr:colOff>
      <xdr:row>95</xdr:row>
      <xdr:rowOff>63500</xdr:rowOff>
    </xdr:from>
    <xdr:ext cx="1011767" cy="423333"/>
    <xdr:sp macro="" textlink="">
      <xdr:nvSpPr>
        <xdr:cNvPr id="17438" name="Text Box 30">
          <a:extLst>
            <a:ext uri="{FF2B5EF4-FFF2-40B4-BE49-F238E27FC236}">
              <a16:creationId xmlns:a16="http://schemas.microsoft.com/office/drawing/2014/main" id="{00000000-0008-0000-0000-00001E440000}"/>
            </a:ext>
          </a:extLst>
        </xdr:cNvPr>
        <xdr:cNvSpPr txBox="1">
          <a:spLocks noChangeArrowheads="1"/>
        </xdr:cNvSpPr>
      </xdr:nvSpPr>
      <xdr:spPr bwMode="auto">
        <a:xfrm>
          <a:off x="7861300" y="17399000"/>
          <a:ext cx="10033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lnSpc>
              <a:spcPts val="1600"/>
            </a:lnSpc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專案開始月份</a:t>
          </a:r>
        </a:p>
        <a:p>
          <a:pPr algn="l" rtl="0">
            <a:defRPr sz="1000"/>
          </a:pP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EX:2007/1/x,</a:t>
          </a:r>
        </a:p>
      </xdr:txBody>
    </xdr:sp>
    <xdr:clientData/>
  </xdr:oneCellAnchor>
  <xdr:twoCellAnchor>
    <xdr:from>
      <xdr:col>12</xdr:col>
      <xdr:colOff>660400</xdr:colOff>
      <xdr:row>92</xdr:row>
      <xdr:rowOff>165100</xdr:rowOff>
    </xdr:from>
    <xdr:to>
      <xdr:col>16</xdr:col>
      <xdr:colOff>266700</xdr:colOff>
      <xdr:row>93</xdr:row>
      <xdr:rowOff>114300</xdr:rowOff>
    </xdr:to>
    <xdr:sp macro="" textlink="">
      <xdr:nvSpPr>
        <xdr:cNvPr id="17439" name="AutoShape 31">
          <a:extLst>
            <a:ext uri="{FF2B5EF4-FFF2-40B4-BE49-F238E27FC236}">
              <a16:creationId xmlns:a16="http://schemas.microsoft.com/office/drawing/2014/main" id="{00000000-0008-0000-0000-00001F440000}"/>
            </a:ext>
          </a:extLst>
        </xdr:cNvPr>
        <xdr:cNvSpPr>
          <a:spLocks/>
        </xdr:cNvSpPr>
      </xdr:nvSpPr>
      <xdr:spPr bwMode="auto">
        <a:xfrm rot="16200000">
          <a:off x="9118600" y="15849600"/>
          <a:ext cx="139700" cy="2298700"/>
        </a:xfrm>
        <a:prstGeom prst="rightBrace">
          <a:avLst>
            <a:gd name="adj1" fmla="val 137121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11</xdr:col>
      <xdr:colOff>292100</xdr:colOff>
      <xdr:row>100</xdr:row>
      <xdr:rowOff>12700</xdr:rowOff>
    </xdr:from>
    <xdr:to>
      <xdr:col>18</xdr:col>
      <xdr:colOff>152400</xdr:colOff>
      <xdr:row>100</xdr:row>
      <xdr:rowOff>12700</xdr:rowOff>
    </xdr:to>
    <xdr:sp macro="" textlink="">
      <xdr:nvSpPr>
        <xdr:cNvPr id="17440" name="Line 32">
          <a:extLst>
            <a:ext uri="{FF2B5EF4-FFF2-40B4-BE49-F238E27FC236}">
              <a16:creationId xmlns:a16="http://schemas.microsoft.com/office/drawing/2014/main" id="{00000000-0008-0000-0000-000020440000}"/>
            </a:ext>
          </a:extLst>
        </xdr:cNvPr>
        <xdr:cNvSpPr>
          <a:spLocks noChangeShapeType="1"/>
        </xdr:cNvSpPr>
      </xdr:nvSpPr>
      <xdr:spPr bwMode="auto">
        <a:xfrm>
          <a:off x="7340600" y="183007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13</xdr:col>
      <xdr:colOff>584200</xdr:colOff>
      <xdr:row>91</xdr:row>
      <xdr:rowOff>0</xdr:rowOff>
    </xdr:from>
    <xdr:ext cx="2353733" cy="410633"/>
    <xdr:sp macro="" textlink="">
      <xdr:nvSpPr>
        <xdr:cNvPr id="17441" name="Text Box 33">
          <a:extLst>
            <a:ext uri="{FF2B5EF4-FFF2-40B4-BE49-F238E27FC236}">
              <a16:creationId xmlns:a16="http://schemas.microsoft.com/office/drawing/2014/main" id="{00000000-0008-0000-0000-000021440000}"/>
            </a:ext>
          </a:extLst>
        </xdr:cNvPr>
        <xdr:cNvSpPr txBox="1">
          <a:spLocks noChangeArrowheads="1"/>
        </xdr:cNvSpPr>
      </xdr:nvSpPr>
      <xdr:spPr bwMode="auto">
        <a:xfrm>
          <a:off x="8636000" y="16573500"/>
          <a:ext cx="23368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專案開始月份設定</a:t>
          </a:r>
        </a:p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使已有自行繪圖區圖不會錯誤位移</a:t>
          </a:r>
        </a:p>
      </xdr:txBody>
    </xdr:sp>
    <xdr:clientData/>
  </xdr:oneCellAnchor>
  <xdr:twoCellAnchor>
    <xdr:from>
      <xdr:col>15</xdr:col>
      <xdr:colOff>482600</xdr:colOff>
      <xdr:row>100</xdr:row>
      <xdr:rowOff>38100</xdr:rowOff>
    </xdr:from>
    <xdr:to>
      <xdr:col>16</xdr:col>
      <xdr:colOff>25400</xdr:colOff>
      <xdr:row>101</xdr:row>
      <xdr:rowOff>38100</xdr:rowOff>
    </xdr:to>
    <xdr:sp macro="" textlink="">
      <xdr:nvSpPr>
        <xdr:cNvPr id="17442" name="AutoShape 34">
          <a:extLst>
            <a:ext uri="{FF2B5EF4-FFF2-40B4-BE49-F238E27FC236}">
              <a16:creationId xmlns:a16="http://schemas.microsoft.com/office/drawing/2014/main" id="{00000000-0008-0000-0000-000022440000}"/>
            </a:ext>
          </a:extLst>
        </xdr:cNvPr>
        <xdr:cNvSpPr>
          <a:spLocks noChangeArrowheads="1"/>
        </xdr:cNvSpPr>
      </xdr:nvSpPr>
      <xdr:spPr bwMode="auto">
        <a:xfrm>
          <a:off x="9880600" y="183261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15</xdr:col>
      <xdr:colOff>482600</xdr:colOff>
      <xdr:row>101</xdr:row>
      <xdr:rowOff>25400</xdr:rowOff>
    </xdr:from>
    <xdr:ext cx="410634" cy="224366"/>
    <xdr:sp macro="" textlink="">
      <xdr:nvSpPr>
        <xdr:cNvPr id="17443" name="Text Box 35">
          <a:extLst>
            <a:ext uri="{FF2B5EF4-FFF2-40B4-BE49-F238E27FC236}">
              <a16:creationId xmlns:a16="http://schemas.microsoft.com/office/drawing/2014/main" id="{00000000-0008-0000-0000-000023440000}"/>
            </a:ext>
          </a:extLst>
        </xdr:cNvPr>
        <xdr:cNvSpPr txBox="1">
          <a:spLocks noChangeArrowheads="1"/>
        </xdr:cNvSpPr>
      </xdr:nvSpPr>
      <xdr:spPr bwMode="auto">
        <a:xfrm>
          <a:off x="9880600" y="18503900"/>
          <a:ext cx="40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今日</a:t>
          </a:r>
        </a:p>
      </xdr:txBody>
    </xdr:sp>
    <xdr:clientData/>
  </xdr:oneCellAnchor>
  <xdr:twoCellAnchor>
    <xdr:from>
      <xdr:col>13</xdr:col>
      <xdr:colOff>419100</xdr:colOff>
      <xdr:row>98</xdr:row>
      <xdr:rowOff>165100</xdr:rowOff>
    </xdr:from>
    <xdr:to>
      <xdr:col>15</xdr:col>
      <xdr:colOff>584200</xdr:colOff>
      <xdr:row>99</xdr:row>
      <xdr:rowOff>114300</xdr:rowOff>
    </xdr:to>
    <xdr:sp macro="" textlink="">
      <xdr:nvSpPr>
        <xdr:cNvPr id="17444" name="AutoShape 36">
          <a:extLst>
            <a:ext uri="{FF2B5EF4-FFF2-40B4-BE49-F238E27FC236}">
              <a16:creationId xmlns:a16="http://schemas.microsoft.com/office/drawing/2014/main" id="{00000000-0008-0000-0000-000024440000}"/>
            </a:ext>
          </a:extLst>
        </xdr:cNvPr>
        <xdr:cNvSpPr>
          <a:spLocks/>
        </xdr:cNvSpPr>
      </xdr:nvSpPr>
      <xdr:spPr bwMode="auto">
        <a:xfrm rot="16200000">
          <a:off x="9156700" y="17386300"/>
          <a:ext cx="139700" cy="1511300"/>
        </a:xfrm>
        <a:prstGeom prst="rightBrace">
          <a:avLst>
            <a:gd name="adj1" fmla="val 90152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14</xdr:col>
      <xdr:colOff>304800</xdr:colOff>
      <xdr:row>97</xdr:row>
      <xdr:rowOff>152400</xdr:rowOff>
    </xdr:from>
    <xdr:ext cx="1278467" cy="220133"/>
    <xdr:sp macro="" textlink="">
      <xdr:nvSpPr>
        <xdr:cNvPr id="17445" name="Text Box 37">
          <a:extLst>
            <a:ext uri="{FF2B5EF4-FFF2-40B4-BE49-F238E27FC236}">
              <a16:creationId xmlns:a16="http://schemas.microsoft.com/office/drawing/2014/main" id="{00000000-0008-0000-0000-000025440000}"/>
            </a:ext>
          </a:extLst>
        </xdr:cNvPr>
        <xdr:cNvSpPr txBox="1">
          <a:spLocks noChangeArrowheads="1"/>
        </xdr:cNvSpPr>
      </xdr:nvSpPr>
      <xdr:spPr bwMode="auto">
        <a:xfrm>
          <a:off x="9029700" y="17868900"/>
          <a:ext cx="12700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回顧天數</a:t>
          </a: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,EX:14</a:t>
          </a: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天</a:t>
          </a:r>
        </a:p>
      </xdr:txBody>
    </xdr:sp>
    <xdr:clientData/>
  </xdr:oneCellAnchor>
  <xdr:twoCellAnchor editAs="oneCell">
    <xdr:from>
      <xdr:col>8</xdr:col>
      <xdr:colOff>546100</xdr:colOff>
      <xdr:row>95</xdr:row>
      <xdr:rowOff>114300</xdr:rowOff>
    </xdr:from>
    <xdr:to>
      <xdr:col>11</xdr:col>
      <xdr:colOff>241300</xdr:colOff>
      <xdr:row>98</xdr:row>
      <xdr:rowOff>152400</xdr:rowOff>
    </xdr:to>
    <xdr:sp macro="" textlink="">
      <xdr:nvSpPr>
        <xdr:cNvPr id="17446" name="Text Box 38">
          <a:extLst>
            <a:ext uri="{FF2B5EF4-FFF2-40B4-BE49-F238E27FC236}">
              <a16:creationId xmlns:a16="http://schemas.microsoft.com/office/drawing/2014/main" id="{00000000-0008-0000-0000-000026440000}"/>
            </a:ext>
          </a:extLst>
        </xdr:cNvPr>
        <xdr:cNvSpPr txBox="1">
          <a:spLocks noChangeArrowheads="1"/>
        </xdr:cNvSpPr>
      </xdr:nvSpPr>
      <xdr:spPr bwMode="auto">
        <a:xfrm>
          <a:off x="5930900" y="17449800"/>
          <a:ext cx="13589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當切換日別</a:t>
          </a:r>
          <a:r>
            <a:rPr lang="en-US" altLang="zh-TW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/</a:t>
          </a: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週別檢視時，程式自動調整檢視</a:t>
          </a:r>
        </a:p>
      </xdr:txBody>
    </xdr:sp>
    <xdr:clientData/>
  </xdr:twoCellAnchor>
  <xdr:twoCellAnchor>
    <xdr:from>
      <xdr:col>8</xdr:col>
      <xdr:colOff>304800</xdr:colOff>
      <xdr:row>99</xdr:row>
      <xdr:rowOff>12700</xdr:rowOff>
    </xdr:from>
    <xdr:to>
      <xdr:col>11</xdr:col>
      <xdr:colOff>152400</xdr:colOff>
      <xdr:row>99</xdr:row>
      <xdr:rowOff>139700</xdr:rowOff>
    </xdr:to>
    <xdr:sp macro="" textlink="">
      <xdr:nvSpPr>
        <xdr:cNvPr id="17447" name="Line 39">
          <a:extLst>
            <a:ext uri="{FF2B5EF4-FFF2-40B4-BE49-F238E27FC236}">
              <a16:creationId xmlns:a16="http://schemas.microsoft.com/office/drawing/2014/main" id="{00000000-0008-0000-0000-000027440000}"/>
            </a:ext>
          </a:extLst>
        </xdr:cNvPr>
        <xdr:cNvSpPr>
          <a:spLocks noChangeShapeType="1"/>
        </xdr:cNvSpPr>
      </xdr:nvSpPr>
      <xdr:spPr bwMode="auto">
        <a:xfrm flipH="1" flipV="1">
          <a:off x="5689600" y="18110200"/>
          <a:ext cx="15113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292100</xdr:colOff>
      <xdr:row>94</xdr:row>
      <xdr:rowOff>76200</xdr:rowOff>
    </xdr:from>
    <xdr:to>
      <xdr:col>11</xdr:col>
      <xdr:colOff>177800</xdr:colOff>
      <xdr:row>95</xdr:row>
      <xdr:rowOff>38100</xdr:rowOff>
    </xdr:to>
    <xdr:sp macro="" textlink="">
      <xdr:nvSpPr>
        <xdr:cNvPr id="17448" name="Line 40">
          <a:extLst>
            <a:ext uri="{FF2B5EF4-FFF2-40B4-BE49-F238E27FC236}">
              <a16:creationId xmlns:a16="http://schemas.microsoft.com/office/drawing/2014/main" id="{00000000-0008-0000-0000-000028440000}"/>
            </a:ext>
          </a:extLst>
        </xdr:cNvPr>
        <xdr:cNvSpPr>
          <a:spLocks noChangeShapeType="1"/>
        </xdr:cNvSpPr>
      </xdr:nvSpPr>
      <xdr:spPr bwMode="auto">
        <a:xfrm flipH="1">
          <a:off x="5676900" y="17221200"/>
          <a:ext cx="1549400" cy="152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292100</xdr:colOff>
      <xdr:row>93</xdr:row>
      <xdr:rowOff>101600</xdr:rowOff>
    </xdr:from>
    <xdr:to>
      <xdr:col>8</xdr:col>
      <xdr:colOff>292100</xdr:colOff>
      <xdr:row>97</xdr:row>
      <xdr:rowOff>63500</xdr:rowOff>
    </xdr:to>
    <xdr:sp macro="" textlink="">
      <xdr:nvSpPr>
        <xdr:cNvPr id="17449" name="Rectangle 41">
          <a:extLst>
            <a:ext uri="{FF2B5EF4-FFF2-40B4-BE49-F238E27FC236}">
              <a16:creationId xmlns:a16="http://schemas.microsoft.com/office/drawing/2014/main" id="{00000000-0008-0000-0000-000029440000}"/>
            </a:ext>
          </a:extLst>
        </xdr:cNvPr>
        <xdr:cNvSpPr>
          <a:spLocks noChangeArrowheads="1"/>
        </xdr:cNvSpPr>
      </xdr:nvSpPr>
      <xdr:spPr bwMode="auto">
        <a:xfrm>
          <a:off x="292100" y="17056100"/>
          <a:ext cx="5384800" cy="7239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330200</xdr:colOff>
      <xdr:row>97</xdr:row>
      <xdr:rowOff>76200</xdr:rowOff>
    </xdr:from>
    <xdr:to>
      <xdr:col>8</xdr:col>
      <xdr:colOff>330200</xdr:colOff>
      <xdr:row>100</xdr:row>
      <xdr:rowOff>25400</xdr:rowOff>
    </xdr:to>
    <xdr:sp macro="" textlink="">
      <xdr:nvSpPr>
        <xdr:cNvPr id="17450" name="Rectangle 42">
          <a:extLst>
            <a:ext uri="{FF2B5EF4-FFF2-40B4-BE49-F238E27FC236}">
              <a16:creationId xmlns:a16="http://schemas.microsoft.com/office/drawing/2014/main" id="{00000000-0008-0000-0000-00002A440000}"/>
            </a:ext>
          </a:extLst>
        </xdr:cNvPr>
        <xdr:cNvSpPr>
          <a:spLocks noChangeArrowheads="1"/>
        </xdr:cNvSpPr>
      </xdr:nvSpPr>
      <xdr:spPr bwMode="auto">
        <a:xfrm>
          <a:off x="330200" y="17792700"/>
          <a:ext cx="5384800" cy="5207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304800</xdr:colOff>
      <xdr:row>57</xdr:row>
      <xdr:rowOff>63500</xdr:rowOff>
    </xdr:from>
    <xdr:to>
      <xdr:col>15</xdr:col>
      <xdr:colOff>660400</xdr:colOff>
      <xdr:row>59</xdr:row>
      <xdr:rowOff>76200</xdr:rowOff>
    </xdr:to>
    <xdr:sp macro="" textlink="">
      <xdr:nvSpPr>
        <xdr:cNvPr id="17451" name="Freeform 43">
          <a:extLst>
            <a:ext uri="{FF2B5EF4-FFF2-40B4-BE49-F238E27FC236}">
              <a16:creationId xmlns:a16="http://schemas.microsoft.com/office/drawing/2014/main" id="{00000000-0008-0000-0000-00002B440000}"/>
            </a:ext>
          </a:extLst>
        </xdr:cNvPr>
        <xdr:cNvSpPr>
          <a:spLocks/>
        </xdr:cNvSpPr>
      </xdr:nvSpPr>
      <xdr:spPr bwMode="auto">
        <a:xfrm>
          <a:off x="5689600" y="10160000"/>
          <a:ext cx="4368800" cy="393700"/>
        </a:xfrm>
        <a:custGeom>
          <a:avLst/>
          <a:gdLst>
            <a:gd name="T0" fmla="*/ 467 w 467"/>
            <a:gd name="T1" fmla="*/ 5 h 45"/>
            <a:gd name="T2" fmla="*/ 39 w 467"/>
            <a:gd name="T3" fmla="*/ 0 h 45"/>
            <a:gd name="T4" fmla="*/ 0 w 467"/>
            <a:gd name="T5" fmla="*/ 45 h 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67" h="45">
              <a:moveTo>
                <a:pt x="467" y="5"/>
              </a:moveTo>
              <a:lnTo>
                <a:pt x="39" y="0"/>
              </a:lnTo>
              <a:lnTo>
                <a:pt x="0" y="45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266700</xdr:colOff>
      <xdr:row>61</xdr:row>
      <xdr:rowOff>63500</xdr:rowOff>
    </xdr:from>
    <xdr:to>
      <xdr:col>17</xdr:col>
      <xdr:colOff>12700</xdr:colOff>
      <xdr:row>64</xdr:row>
      <xdr:rowOff>76200</xdr:rowOff>
    </xdr:to>
    <xdr:sp macro="" textlink="">
      <xdr:nvSpPr>
        <xdr:cNvPr id="17452" name="Freeform 44">
          <a:extLst>
            <a:ext uri="{FF2B5EF4-FFF2-40B4-BE49-F238E27FC236}">
              <a16:creationId xmlns:a16="http://schemas.microsoft.com/office/drawing/2014/main" id="{00000000-0008-0000-0000-00002C440000}"/>
            </a:ext>
          </a:extLst>
        </xdr:cNvPr>
        <xdr:cNvSpPr>
          <a:spLocks/>
        </xdr:cNvSpPr>
      </xdr:nvSpPr>
      <xdr:spPr bwMode="auto">
        <a:xfrm>
          <a:off x="5651500" y="10922000"/>
          <a:ext cx="5105400" cy="584200"/>
        </a:xfrm>
        <a:custGeom>
          <a:avLst/>
          <a:gdLst>
            <a:gd name="T0" fmla="*/ 544 w 544"/>
            <a:gd name="T1" fmla="*/ 67 h 67"/>
            <a:gd name="T2" fmla="*/ 157 w 544"/>
            <a:gd name="T3" fmla="*/ 49 h 67"/>
            <a:gd name="T4" fmla="*/ 76 w 544"/>
            <a:gd name="T5" fmla="*/ 0 h 67"/>
            <a:gd name="T6" fmla="*/ 0 w 544"/>
            <a:gd name="T7" fmla="*/ 3 h 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44" h="67">
              <a:moveTo>
                <a:pt x="544" y="67"/>
              </a:moveTo>
              <a:lnTo>
                <a:pt x="157" y="49"/>
              </a:lnTo>
              <a:lnTo>
                <a:pt x="76" y="0"/>
              </a:lnTo>
              <a:lnTo>
                <a:pt x="0" y="3"/>
              </a:lnTo>
            </a:path>
          </a:pathLst>
        </a:custGeom>
        <a:noFill/>
        <a:ln w="38100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11</xdr:col>
      <xdr:colOff>304800</xdr:colOff>
      <xdr:row>100</xdr:row>
      <xdr:rowOff>12700</xdr:rowOff>
    </xdr:from>
    <xdr:to>
      <xdr:col>14</xdr:col>
      <xdr:colOff>584200</xdr:colOff>
      <xdr:row>102</xdr:row>
      <xdr:rowOff>114300</xdr:rowOff>
    </xdr:to>
    <xdr:sp macro="" textlink="">
      <xdr:nvSpPr>
        <xdr:cNvPr id="17454" name="Text Box 46">
          <a:extLst>
            <a:ext uri="{FF2B5EF4-FFF2-40B4-BE49-F238E27FC236}">
              <a16:creationId xmlns:a16="http://schemas.microsoft.com/office/drawing/2014/main" id="{00000000-0008-0000-0000-00002E440000}"/>
            </a:ext>
          </a:extLst>
        </xdr:cNvPr>
        <xdr:cNvSpPr txBox="1">
          <a:spLocks noChangeArrowheads="1"/>
        </xdr:cNvSpPr>
      </xdr:nvSpPr>
      <xdr:spPr bwMode="auto">
        <a:xfrm>
          <a:off x="7353300" y="18300700"/>
          <a:ext cx="195580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因電腦銀幕大小有限，以此方式減少移動畫面的操作</a:t>
          </a:r>
        </a:p>
      </xdr:txBody>
    </xdr:sp>
    <xdr:clientData/>
  </xdr:twoCellAnchor>
  <xdr:twoCellAnchor editAs="oneCell">
    <xdr:from>
      <xdr:col>1</xdr:col>
      <xdr:colOff>12700</xdr:colOff>
      <xdr:row>8</xdr:row>
      <xdr:rowOff>38100</xdr:rowOff>
    </xdr:from>
    <xdr:to>
      <xdr:col>9</xdr:col>
      <xdr:colOff>165100</xdr:colOff>
      <xdr:row>27</xdr:row>
      <xdr:rowOff>127000</xdr:rowOff>
    </xdr:to>
    <xdr:pic>
      <xdr:nvPicPr>
        <xdr:cNvPr id="17468" name="Picture 60">
          <a:extLst>
            <a:ext uri="{FF2B5EF4-FFF2-40B4-BE49-F238E27FC236}">
              <a16:creationId xmlns:a16="http://schemas.microsoft.com/office/drawing/2014/main" id="{00000000-0008-0000-0000-00003C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800100"/>
          <a:ext cx="5537200" cy="3708400"/>
        </a:xfrm>
        <a:prstGeom prst="rect">
          <a:avLst/>
        </a:prstGeom>
        <a:noFill/>
        <a:ln w="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miter lim="800000"/>
          <a:headEnd/>
          <a:tailEnd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190500</xdr:colOff>
      <xdr:row>9</xdr:row>
      <xdr:rowOff>101600</xdr:rowOff>
    </xdr:from>
    <xdr:to>
      <xdr:col>10</xdr:col>
      <xdr:colOff>12700</xdr:colOff>
      <xdr:row>10</xdr:row>
      <xdr:rowOff>177800</xdr:rowOff>
    </xdr:to>
    <xdr:sp macro="" textlink="">
      <xdr:nvSpPr>
        <xdr:cNvPr id="17469" name="Freeform 61">
          <a:extLst>
            <a:ext uri="{FF2B5EF4-FFF2-40B4-BE49-F238E27FC236}">
              <a16:creationId xmlns:a16="http://schemas.microsoft.com/office/drawing/2014/main" id="{00000000-0008-0000-0000-00003D440000}"/>
            </a:ext>
          </a:extLst>
        </xdr:cNvPr>
        <xdr:cNvSpPr>
          <a:spLocks/>
        </xdr:cNvSpPr>
      </xdr:nvSpPr>
      <xdr:spPr bwMode="auto">
        <a:xfrm>
          <a:off x="4902200" y="1054100"/>
          <a:ext cx="1841500" cy="266700"/>
        </a:xfrm>
        <a:custGeom>
          <a:avLst/>
          <a:gdLst>
            <a:gd name="T0" fmla="*/ 197 w 197"/>
            <a:gd name="T1" fmla="*/ 1 h 32"/>
            <a:gd name="T2" fmla="*/ 105 w 197"/>
            <a:gd name="T3" fmla="*/ 0 h 32"/>
            <a:gd name="T4" fmla="*/ 105 w 197"/>
            <a:gd name="T5" fmla="*/ 32 h 32"/>
            <a:gd name="T6" fmla="*/ 0 w 197"/>
            <a:gd name="T7" fmla="*/ 32 h 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97" h="32">
              <a:moveTo>
                <a:pt x="197" y="1"/>
              </a:moveTo>
              <a:lnTo>
                <a:pt x="105" y="0"/>
              </a:lnTo>
              <a:lnTo>
                <a:pt x="105" y="32"/>
              </a:lnTo>
              <a:lnTo>
                <a:pt x="0" y="32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4</xdr:col>
      <xdr:colOff>457200</xdr:colOff>
      <xdr:row>16</xdr:row>
      <xdr:rowOff>63500</xdr:rowOff>
    </xdr:from>
    <xdr:to>
      <xdr:col>9</xdr:col>
      <xdr:colOff>660400</xdr:colOff>
      <xdr:row>21</xdr:row>
      <xdr:rowOff>76200</xdr:rowOff>
    </xdr:to>
    <xdr:sp macro="" textlink="">
      <xdr:nvSpPr>
        <xdr:cNvPr id="17480" name="Freeform 72">
          <a:extLst>
            <a:ext uri="{FF2B5EF4-FFF2-40B4-BE49-F238E27FC236}">
              <a16:creationId xmlns:a16="http://schemas.microsoft.com/office/drawing/2014/main" id="{00000000-0008-0000-0000-000048440000}"/>
            </a:ext>
          </a:extLst>
        </xdr:cNvPr>
        <xdr:cNvSpPr>
          <a:spLocks/>
        </xdr:cNvSpPr>
      </xdr:nvSpPr>
      <xdr:spPr bwMode="auto">
        <a:xfrm>
          <a:off x="3149600" y="2349500"/>
          <a:ext cx="3568700" cy="965200"/>
        </a:xfrm>
        <a:custGeom>
          <a:avLst/>
          <a:gdLst>
            <a:gd name="T0" fmla="*/ 382 w 382"/>
            <a:gd name="T1" fmla="*/ 94 h 112"/>
            <a:gd name="T2" fmla="*/ 299 w 382"/>
            <a:gd name="T3" fmla="*/ 112 h 112"/>
            <a:gd name="T4" fmla="*/ 32 w 382"/>
            <a:gd name="T5" fmla="*/ 104 h 112"/>
            <a:gd name="T6" fmla="*/ 0 w 382"/>
            <a:gd name="T7" fmla="*/ 0 h 1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382" h="112">
              <a:moveTo>
                <a:pt x="382" y="94"/>
              </a:moveTo>
              <a:lnTo>
                <a:pt x="299" y="112"/>
              </a:lnTo>
              <a:lnTo>
                <a:pt x="32" y="104"/>
              </a:lnTo>
              <a:lnTo>
                <a:pt x="0" y="0"/>
              </a:lnTo>
            </a:path>
          </a:pathLst>
        </a:custGeom>
        <a:noFill/>
        <a:ln w="9525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123708</xdr:colOff>
      <xdr:row>7</xdr:row>
      <xdr:rowOff>12700</xdr:rowOff>
    </xdr:from>
    <xdr:to>
      <xdr:col>19</xdr:col>
      <xdr:colOff>123708</xdr:colOff>
      <xdr:row>42</xdr:row>
      <xdr:rowOff>188148</xdr:rowOff>
    </xdr:to>
    <xdr:sp macro="" textlink="">
      <xdr:nvSpPr>
        <xdr:cNvPr id="1510" name="Line 486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>
          <a:spLocks noChangeShapeType="1"/>
        </xdr:cNvSpPr>
      </xdr:nvSpPr>
      <xdr:spPr bwMode="auto">
        <a:xfrm flipH="1">
          <a:off x="7837782" y="953441"/>
          <a:ext cx="0" cy="3421003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698500</xdr:colOff>
          <xdr:row>3</xdr:row>
          <xdr:rowOff>177800</xdr:rowOff>
        </xdr:to>
        <xdr:sp macro="" textlink="">
          <xdr:nvSpPr>
            <xdr:cNvPr id="1627" name="Button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1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Fn</a:t>
              </a:r>
            </a:p>
          </xdr:txBody>
        </xdr:sp>
        <xdr:clientData fPrintsWithSheet="0"/>
      </xdr:twoCellAnchor>
    </mc:Choice>
    <mc:Fallback/>
  </mc:AlternateContent>
  <xdr:twoCellAnchor>
    <xdr:from>
      <xdr:col>114</xdr:col>
      <xdr:colOff>112889</xdr:colOff>
      <xdr:row>7</xdr:row>
      <xdr:rowOff>56444</xdr:rowOff>
    </xdr:from>
    <xdr:to>
      <xdr:col>114</xdr:col>
      <xdr:colOff>122296</xdr:colOff>
      <xdr:row>43</xdr:row>
      <xdr:rowOff>178741</xdr:rowOff>
    </xdr:to>
    <xdr:cxnSp macro="">
      <xdr:nvCxnSpPr>
        <xdr:cNvPr id="6" name="直線接點 5">
          <a:extLst>
            <a:ext uri="{FF2B5EF4-FFF2-40B4-BE49-F238E27FC236}">
              <a16:creationId xmlns:a16="http://schemas.microsoft.com/office/drawing/2014/main" id="{78F7B6CE-E7FB-D917-DBE9-D6A1EB38D782}"/>
            </a:ext>
          </a:extLst>
        </xdr:cNvPr>
        <xdr:cNvCxnSpPr/>
      </xdr:nvCxnSpPr>
      <xdr:spPr>
        <a:xfrm flipH="1">
          <a:off x="10856148" y="997185"/>
          <a:ext cx="9407" cy="71308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77138</xdr:colOff>
      <xdr:row>7</xdr:row>
      <xdr:rowOff>20698</xdr:rowOff>
    </xdr:from>
    <xdr:to>
      <xdr:col>108</xdr:col>
      <xdr:colOff>86545</xdr:colOff>
      <xdr:row>43</xdr:row>
      <xdr:rowOff>142995</xdr:rowOff>
    </xdr:to>
    <xdr:cxnSp macro="">
      <xdr:nvCxnSpPr>
        <xdr:cNvPr id="2" name="直線接點 1">
          <a:extLst>
            <a:ext uri="{FF2B5EF4-FFF2-40B4-BE49-F238E27FC236}">
              <a16:creationId xmlns:a16="http://schemas.microsoft.com/office/drawing/2014/main" id="{8185FD55-0240-4847-B78C-D778AFD350E3}"/>
            </a:ext>
          </a:extLst>
        </xdr:cNvPr>
        <xdr:cNvCxnSpPr/>
      </xdr:nvCxnSpPr>
      <xdr:spPr>
        <a:xfrm flipH="1">
          <a:off x="9578619" y="961439"/>
          <a:ext cx="9407" cy="6566371"/>
        </a:xfrm>
        <a:prstGeom prst="line">
          <a:avLst/>
        </a:prstGeom>
        <a:ln w="28575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47038</xdr:colOff>
      <xdr:row>7</xdr:row>
      <xdr:rowOff>50807</xdr:rowOff>
    </xdr:from>
    <xdr:to>
      <xdr:col>104</xdr:col>
      <xdr:colOff>60208</xdr:colOff>
      <xdr:row>43</xdr:row>
      <xdr:rowOff>173104</xdr:rowOff>
    </xdr:to>
    <xdr:cxnSp macro="">
      <xdr:nvCxnSpPr>
        <xdr:cNvPr id="3" name="直線接點 2">
          <a:extLst>
            <a:ext uri="{FF2B5EF4-FFF2-40B4-BE49-F238E27FC236}">
              <a16:creationId xmlns:a16="http://schemas.microsoft.com/office/drawing/2014/main" id="{F7B6B342-5D20-0C47-8711-EAE7AC4F220F}"/>
            </a:ext>
          </a:extLst>
        </xdr:cNvPr>
        <xdr:cNvCxnSpPr/>
      </xdr:nvCxnSpPr>
      <xdr:spPr>
        <a:xfrm flipH="1">
          <a:off x="8720668" y="991548"/>
          <a:ext cx="13170" cy="6566371"/>
        </a:xfrm>
        <a:prstGeom prst="line">
          <a:avLst/>
        </a:prstGeom>
        <a:ln w="28575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165100</xdr:colOff>
      <xdr:row>1</xdr:row>
      <xdr:rowOff>12700</xdr:rowOff>
    </xdr:from>
    <xdr:to>
      <xdr:col>10</xdr:col>
      <xdr:colOff>609600</xdr:colOff>
      <xdr:row>2</xdr:row>
      <xdr:rowOff>76200</xdr:rowOff>
    </xdr:to>
    <xdr:pic>
      <xdr:nvPicPr>
        <xdr:cNvPr id="8203" name="CommandButton1">
          <a:extLst>
            <a:ext uri="{FF2B5EF4-FFF2-40B4-BE49-F238E27FC236}">
              <a16:creationId xmlns:a16="http://schemas.microsoft.com/office/drawing/2014/main" id="{00000000-0008-0000-0200-00000B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203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177800</xdr:colOff>
      <xdr:row>3</xdr:row>
      <xdr:rowOff>12700</xdr:rowOff>
    </xdr:from>
    <xdr:to>
      <xdr:col>10</xdr:col>
      <xdr:colOff>622300</xdr:colOff>
      <xdr:row>4</xdr:row>
      <xdr:rowOff>76200</xdr:rowOff>
    </xdr:to>
    <xdr:pic>
      <xdr:nvPicPr>
        <xdr:cNvPr id="8204" name="CommandButton2">
          <a:extLst>
            <a:ext uri="{FF2B5EF4-FFF2-40B4-BE49-F238E27FC236}">
              <a16:creationId xmlns:a16="http://schemas.microsoft.com/office/drawing/2014/main" id="{00000000-0008-0000-0200-00000C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2500" y="584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165100</xdr:colOff>
      <xdr:row>4</xdr:row>
      <xdr:rowOff>177800</xdr:rowOff>
    </xdr:from>
    <xdr:to>
      <xdr:col>10</xdr:col>
      <xdr:colOff>609600</xdr:colOff>
      <xdr:row>6</xdr:row>
      <xdr:rowOff>63500</xdr:rowOff>
    </xdr:to>
    <xdr:pic>
      <xdr:nvPicPr>
        <xdr:cNvPr id="8205" name="CommandButton3">
          <a:extLst>
            <a:ext uri="{FF2B5EF4-FFF2-40B4-BE49-F238E27FC236}">
              <a16:creationId xmlns:a16="http://schemas.microsoft.com/office/drawing/2014/main" id="{00000000-0008-0000-0200-00000D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939800"/>
          <a:ext cx="11176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CA0B7E3-7F9C-884E-840D-872A3C1DB0FC}">
  <we:reference id="e849ddb8-6bbd-4833-bd4b-59030099d63e" version="1.0.0.0" store="EXCatalog" storeType="EXCatalog"/>
  <we:alternateReferences>
    <we:reference id="WA200000113" version="1.0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42"/>
    <outlinePr summaryBelow="0"/>
  </sheetPr>
  <dimension ref="A1:R157"/>
  <sheetViews>
    <sheetView showGridLines="0" zoomScale="75" zoomScaleNormal="75" zoomScalePageLayoutView="75" workbookViewId="0">
      <selection activeCell="K27" sqref="K27"/>
    </sheetView>
  </sheetViews>
  <sheetFormatPr baseColWidth="10" defaultColWidth="8.83203125" defaultRowHeight="15" outlineLevelRow="1"/>
  <cols>
    <col min="11" max="11" width="4.1640625" customWidth="1"/>
    <col min="12" max="12" width="4.33203125" customWidth="1"/>
  </cols>
  <sheetData>
    <row r="1" spans="1:11" s="74" customFormat="1">
      <c r="A1" s="68" t="s">
        <v>82</v>
      </c>
      <c r="B1" s="68"/>
      <c r="C1" s="68"/>
      <c r="D1" s="68"/>
      <c r="E1" s="68"/>
      <c r="F1" s="68"/>
      <c r="G1" s="68"/>
      <c r="H1" s="68"/>
      <c r="I1" s="68"/>
    </row>
    <row r="3" spans="1:11" collapsed="1">
      <c r="A3" t="s">
        <v>110</v>
      </c>
    </row>
    <row r="4" spans="1:11" hidden="1" outlineLevel="1">
      <c r="B4" t="s">
        <v>71</v>
      </c>
    </row>
    <row r="5" spans="1:11" hidden="1" outlineLevel="1">
      <c r="B5" t="s">
        <v>72</v>
      </c>
    </row>
    <row r="6" spans="1:11" hidden="1" outlineLevel="1">
      <c r="B6" t="s">
        <v>96</v>
      </c>
    </row>
    <row r="7" spans="1:11" hidden="1" outlineLevel="1">
      <c r="B7" t="s">
        <v>137</v>
      </c>
    </row>
    <row r="8" spans="1:11">
      <c r="B8" s="7" t="s">
        <v>135</v>
      </c>
    </row>
    <row r="10" spans="1:11">
      <c r="K10" t="s">
        <v>144</v>
      </c>
    </row>
    <row r="21" spans="1:12">
      <c r="K21" t="s">
        <v>142</v>
      </c>
    </row>
    <row r="22" spans="1:12">
      <c r="K22" t="s">
        <v>143</v>
      </c>
    </row>
    <row r="30" spans="1:12">
      <c r="A30" t="s">
        <v>83</v>
      </c>
    </row>
    <row r="32" spans="1:12">
      <c r="K32" s="71" t="s">
        <v>114</v>
      </c>
      <c r="L32" s="71"/>
    </row>
    <row r="33" spans="11:12">
      <c r="K33" s="72" t="s">
        <v>48</v>
      </c>
      <c r="L33" s="71" t="s">
        <v>115</v>
      </c>
    </row>
    <row r="34" spans="11:12">
      <c r="K34" s="72" t="s">
        <v>116</v>
      </c>
      <c r="L34" s="71" t="s">
        <v>95</v>
      </c>
    </row>
    <row r="35" spans="11:12">
      <c r="K35" s="71"/>
      <c r="L35" s="71" t="s">
        <v>87</v>
      </c>
    </row>
    <row r="36" spans="11:12">
      <c r="K36" s="71"/>
      <c r="L36" s="71" t="s">
        <v>88</v>
      </c>
    </row>
    <row r="37" spans="11:12">
      <c r="L37" s="71" t="s">
        <v>140</v>
      </c>
    </row>
    <row r="38" spans="11:12">
      <c r="L38" s="71" t="s">
        <v>141</v>
      </c>
    </row>
    <row r="39" spans="11:12">
      <c r="K39" s="72" t="s">
        <v>117</v>
      </c>
      <c r="L39" s="71" t="s">
        <v>118</v>
      </c>
    </row>
    <row r="40" spans="11:12">
      <c r="K40" s="71"/>
      <c r="L40" s="71" t="s">
        <v>119</v>
      </c>
    </row>
    <row r="41" spans="11:12">
      <c r="K41" s="72" t="s">
        <v>120</v>
      </c>
      <c r="L41" s="71" t="s">
        <v>121</v>
      </c>
    </row>
    <row r="50" spans="1:17">
      <c r="A50" t="s">
        <v>122</v>
      </c>
    </row>
    <row r="52" spans="1:17">
      <c r="K52" t="s">
        <v>78</v>
      </c>
    </row>
    <row r="53" spans="1:17">
      <c r="K53" t="s">
        <v>73</v>
      </c>
    </row>
    <row r="55" spans="1:17">
      <c r="K55" t="s">
        <v>79</v>
      </c>
    </row>
    <row r="56" spans="1:17">
      <c r="L56" t="s">
        <v>99</v>
      </c>
    </row>
    <row r="58" spans="1:17">
      <c r="Q58" t="s">
        <v>97</v>
      </c>
    </row>
    <row r="59" spans="1:17">
      <c r="K59" t="s">
        <v>80</v>
      </c>
      <c r="Q59" t="s">
        <v>98</v>
      </c>
    </row>
    <row r="60" spans="1:17">
      <c r="L60" t="s">
        <v>74</v>
      </c>
      <c r="Q60" t="s">
        <v>139</v>
      </c>
    </row>
    <row r="61" spans="1:17">
      <c r="M61" t="s">
        <v>75</v>
      </c>
      <c r="Q61" t="s">
        <v>138</v>
      </c>
    </row>
    <row r="62" spans="1:17">
      <c r="L62" t="s">
        <v>92</v>
      </c>
    </row>
    <row r="63" spans="1:17">
      <c r="M63" t="s">
        <v>76</v>
      </c>
    </row>
    <row r="65" spans="1:18">
      <c r="K65" t="s">
        <v>81</v>
      </c>
      <c r="R65" t="s">
        <v>100</v>
      </c>
    </row>
    <row r="66" spans="1:18">
      <c r="L66" t="s">
        <v>77</v>
      </c>
      <c r="R66" s="69" t="s">
        <v>101</v>
      </c>
    </row>
    <row r="67" spans="1:18">
      <c r="M67" t="s">
        <v>124</v>
      </c>
    </row>
    <row r="68" spans="1:18">
      <c r="L68" t="s">
        <v>132</v>
      </c>
    </row>
    <row r="69" spans="1:18">
      <c r="M69" t="s">
        <v>123</v>
      </c>
    </row>
    <row r="70" spans="1:18">
      <c r="K70" t="s">
        <v>133</v>
      </c>
    </row>
    <row r="72" spans="1:18">
      <c r="A72" t="s">
        <v>93</v>
      </c>
    </row>
    <row r="73" spans="1:18">
      <c r="B73" t="s">
        <v>89</v>
      </c>
    </row>
    <row r="75" spans="1:18">
      <c r="K75" t="s">
        <v>84</v>
      </c>
    </row>
    <row r="76" spans="1:18">
      <c r="K76" t="s">
        <v>85</v>
      </c>
    </row>
    <row r="77" spans="1:18">
      <c r="K77" t="s">
        <v>86</v>
      </c>
    </row>
    <row r="78" spans="1:18">
      <c r="L78" s="69" t="s">
        <v>101</v>
      </c>
    </row>
    <row r="92" spans="1:3">
      <c r="A92" t="s">
        <v>90</v>
      </c>
      <c r="C92" t="s">
        <v>134</v>
      </c>
    </row>
    <row r="104" spans="1:2">
      <c r="A104" t="s">
        <v>91</v>
      </c>
    </row>
    <row r="105" spans="1:2">
      <c r="B105" t="s">
        <v>111</v>
      </c>
    </row>
    <row r="124" spans="1:1">
      <c r="A124" t="s">
        <v>94</v>
      </c>
    </row>
    <row r="153" spans="1:13">
      <c r="A153" t="s">
        <v>108</v>
      </c>
      <c r="B153" s="70" t="s">
        <v>102</v>
      </c>
    </row>
    <row r="154" spans="1:13" ht="40.5" customHeight="1">
      <c r="B154" s="73">
        <v>1</v>
      </c>
      <c r="C154" s="2" t="s">
        <v>103</v>
      </c>
      <c r="D154" s="1"/>
      <c r="E154" s="2" t="s">
        <v>113</v>
      </c>
      <c r="F154" s="91"/>
      <c r="G154" s="91"/>
      <c r="H154" s="91"/>
      <c r="I154" s="91"/>
      <c r="J154" s="91"/>
      <c r="K154" s="91"/>
      <c r="L154" s="91"/>
      <c r="M154" s="1"/>
    </row>
    <row r="155" spans="1:13" ht="39" customHeight="1">
      <c r="B155" s="73">
        <v>2</v>
      </c>
      <c r="C155" s="2" t="s">
        <v>104</v>
      </c>
      <c r="D155" s="1"/>
      <c r="E155" s="2" t="s">
        <v>107</v>
      </c>
      <c r="F155" s="91"/>
      <c r="G155" s="91"/>
      <c r="H155" s="91"/>
      <c r="I155" s="91"/>
      <c r="J155" s="91"/>
      <c r="K155" s="91"/>
      <c r="L155" s="91"/>
      <c r="M155" s="1"/>
    </row>
    <row r="156" spans="1:13" ht="54.75" customHeight="1">
      <c r="B156" s="73">
        <v>3</v>
      </c>
      <c r="C156" s="2" t="s">
        <v>105</v>
      </c>
      <c r="D156" s="1"/>
      <c r="E156" s="2" t="s">
        <v>109</v>
      </c>
      <c r="F156" s="91"/>
      <c r="G156" s="91"/>
      <c r="H156" s="91"/>
      <c r="I156" s="91"/>
      <c r="J156" s="91"/>
      <c r="K156" s="91"/>
      <c r="L156" s="91"/>
      <c r="M156" s="1"/>
    </row>
    <row r="157" spans="1:13" ht="97.5" customHeight="1">
      <c r="B157" s="73">
        <v>4</v>
      </c>
      <c r="C157" s="2" t="s">
        <v>106</v>
      </c>
      <c r="D157" s="1"/>
      <c r="E157" s="2" t="s">
        <v>112</v>
      </c>
      <c r="F157" s="91"/>
      <c r="G157" s="91"/>
      <c r="H157" s="91"/>
      <c r="I157" s="91"/>
      <c r="J157" s="91"/>
      <c r="K157" s="91"/>
      <c r="L157" s="91"/>
      <c r="M157" s="1"/>
    </row>
  </sheetData>
  <mergeCells count="8">
    <mergeCell ref="C156:D156"/>
    <mergeCell ref="C157:D157"/>
    <mergeCell ref="E156:M156"/>
    <mergeCell ref="E157:M157"/>
    <mergeCell ref="C154:D154"/>
    <mergeCell ref="C155:D155"/>
    <mergeCell ref="E154:M154"/>
    <mergeCell ref="E155:M155"/>
  </mergeCells>
  <phoneticPr fontId="2" type="noConversion"/>
  <hyperlinks>
    <hyperlink ref="L78" location="Readme!A103" display="使用Outlook功能" xr:uid="{00000000-0004-0000-0000-000000000000}"/>
    <hyperlink ref="R66" location="Readme!A103" display="使用Outlook功能" xr:uid="{00000000-0004-0000-0000-000001000000}"/>
  </hyperlinks>
  <pageMargins left="0.75" right="0.75" top="1" bottom="1" header="0.5" footer="0.5"/>
  <pageSetup paperSize="9" scale="41" fitToHeight="2" orientation="portrait"/>
  <rowBreaks count="1" manualBreakCount="1">
    <brk id="103" max="16383" man="1"/>
  </rowBreak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4"/>
    <outlinePr applyStyles="1" summaryBelow="0"/>
    <pageSetUpPr fitToPage="1"/>
  </sheetPr>
  <dimension ref="A1:DU44"/>
  <sheetViews>
    <sheetView showGridLines="0" tabSelected="1" zoomScale="135" zoomScaleNormal="75" zoomScalePageLayoutView="75" workbookViewId="0">
      <pane xSplit="12" topLeftCell="CU1" activePane="topRight" state="frozenSplit"/>
      <selection pane="topRight" activeCell="D43" sqref="D43"/>
    </sheetView>
  </sheetViews>
  <sheetFormatPr baseColWidth="10" defaultColWidth="8.83203125" defaultRowHeight="15" outlineLevelRow="2"/>
  <cols>
    <col min="1" max="1" width="5.6640625" customWidth="1"/>
    <col min="2" max="2" width="33" customWidth="1"/>
    <col min="3" max="3" width="9.6640625" customWidth="1"/>
    <col min="4" max="8" width="5.5" customWidth="1"/>
    <col min="9" max="9" width="8.1640625" customWidth="1"/>
    <col min="10" max="10" width="5.1640625" customWidth="1"/>
    <col min="11" max="11" width="4" customWidth="1"/>
    <col min="12" max="12" width="4.1640625" customWidth="1"/>
    <col min="13" max="42" width="2.6640625" hidden="1" customWidth="1"/>
    <col min="43" max="43" width="3.5" hidden="1" customWidth="1"/>
    <col min="44" max="73" width="2.6640625" hidden="1" customWidth="1"/>
    <col min="74" max="74" width="3.5" hidden="1" customWidth="1"/>
    <col min="75" max="98" width="2.6640625" hidden="1" customWidth="1"/>
    <col min="99" max="125" width="2.6640625" customWidth="1"/>
  </cols>
  <sheetData>
    <row r="1" spans="1:125">
      <c r="A1" s="9"/>
      <c r="B1" s="9" t="s">
        <v>24</v>
      </c>
      <c r="C1" s="9" t="str">
        <f>Config!B4</f>
        <v>CAMPAGIN3PCLOUD</v>
      </c>
      <c r="D1" s="9"/>
      <c r="E1" s="9"/>
      <c r="F1" s="9"/>
      <c r="G1" s="9"/>
      <c r="H1" s="9" t="s">
        <v>25</v>
      </c>
      <c r="I1" s="92">
        <f ca="1">TODAY()</f>
        <v>45705</v>
      </c>
      <c r="J1" s="92"/>
      <c r="K1" s="9"/>
      <c r="L1" s="9"/>
      <c r="M1" s="9"/>
      <c r="N1" s="9"/>
      <c r="O1" s="9" t="s">
        <v>36</v>
      </c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 t="s">
        <v>38</v>
      </c>
      <c r="CX1" s="9"/>
      <c r="CY1" s="9"/>
      <c r="CZ1" s="9"/>
      <c r="DA1" s="30"/>
      <c r="DB1" s="9"/>
      <c r="DC1" s="9"/>
      <c r="DD1" s="9"/>
      <c r="DE1" s="9"/>
      <c r="DF1" s="9"/>
      <c r="DG1" s="9"/>
      <c r="DH1" s="9"/>
      <c r="DI1" s="9"/>
      <c r="DJ1" s="9"/>
      <c r="DK1" s="30"/>
      <c r="DL1" s="9"/>
      <c r="DM1" s="9"/>
      <c r="DN1" s="9"/>
      <c r="DO1" s="9"/>
      <c r="DP1" s="9"/>
      <c r="DQ1" s="9"/>
      <c r="DR1" s="9"/>
      <c r="DS1" s="9"/>
      <c r="DT1" s="9"/>
      <c r="DU1" s="9"/>
    </row>
    <row r="2" spans="1:125">
      <c r="B2" s="7" t="s">
        <v>68</v>
      </c>
      <c r="C2" s="16">
        <v>2025</v>
      </c>
      <c r="D2" s="7" t="s">
        <v>43</v>
      </c>
      <c r="E2" s="16">
        <v>2</v>
      </c>
      <c r="F2" s="7"/>
    </row>
    <row r="3" spans="1:125" hidden="1">
      <c r="B3" s="7"/>
      <c r="C3" s="16"/>
    </row>
    <row r="4" spans="1:125">
      <c r="C4" s="3"/>
      <c r="I4" s="5" t="s">
        <v>9</v>
      </c>
      <c r="J4" s="45" t="s">
        <v>5</v>
      </c>
      <c r="K4" s="46"/>
      <c r="L4" s="47"/>
      <c r="M4" s="8">
        <f>MONTH(M7)</f>
        <v>2</v>
      </c>
      <c r="N4" s="8" t="str">
        <f t="shared" ref="N4:O4" si="0">IF(DAY(N7)=1,MONTH(N7),"")</f>
        <v/>
      </c>
      <c r="O4" s="8" t="str">
        <f t="shared" si="0"/>
        <v/>
      </c>
      <c r="P4" s="8" t="str">
        <f t="shared" ref="P4:BW4" si="1">IF(DAY(P7)=1,MONTH(P7),"")</f>
        <v/>
      </c>
      <c r="Q4" s="8" t="str">
        <f t="shared" si="1"/>
        <v/>
      </c>
      <c r="R4" s="8" t="str">
        <f t="shared" si="1"/>
        <v/>
      </c>
      <c r="S4" s="8" t="str">
        <f t="shared" si="1"/>
        <v/>
      </c>
      <c r="T4" s="8" t="str">
        <f t="shared" si="1"/>
        <v/>
      </c>
      <c r="U4" s="8" t="str">
        <f t="shared" si="1"/>
        <v/>
      </c>
      <c r="V4" s="8" t="str">
        <f t="shared" si="1"/>
        <v/>
      </c>
      <c r="W4" s="8" t="str">
        <f t="shared" si="1"/>
        <v/>
      </c>
      <c r="X4" s="8" t="str">
        <f t="shared" si="1"/>
        <v/>
      </c>
      <c r="Y4" s="8" t="str">
        <f t="shared" si="1"/>
        <v/>
      </c>
      <c r="Z4" s="8" t="str">
        <f t="shared" si="1"/>
        <v/>
      </c>
      <c r="AA4" s="8" t="str">
        <f t="shared" si="1"/>
        <v/>
      </c>
      <c r="AB4" s="8" t="str">
        <f t="shared" si="1"/>
        <v/>
      </c>
      <c r="AC4" s="8" t="str">
        <f t="shared" si="1"/>
        <v/>
      </c>
      <c r="AD4" s="8" t="str">
        <f t="shared" si="1"/>
        <v/>
      </c>
      <c r="AE4" s="8" t="str">
        <f t="shared" si="1"/>
        <v/>
      </c>
      <c r="AF4" s="8" t="str">
        <f t="shared" si="1"/>
        <v/>
      </c>
      <c r="AG4" s="8" t="str">
        <f t="shared" si="1"/>
        <v/>
      </c>
      <c r="AH4" s="8">
        <f t="shared" si="1"/>
        <v>3</v>
      </c>
      <c r="AI4" s="8" t="str">
        <f t="shared" si="1"/>
        <v/>
      </c>
      <c r="AJ4" s="8" t="str">
        <f t="shared" si="1"/>
        <v/>
      </c>
      <c r="AK4" s="8" t="str">
        <f t="shared" si="1"/>
        <v/>
      </c>
      <c r="AL4" s="8" t="str">
        <f t="shared" si="1"/>
        <v/>
      </c>
      <c r="AM4" s="8" t="str">
        <f t="shared" si="1"/>
        <v/>
      </c>
      <c r="AN4" s="8" t="str">
        <f t="shared" si="1"/>
        <v/>
      </c>
      <c r="AO4" s="8" t="str">
        <f t="shared" si="1"/>
        <v/>
      </c>
      <c r="AP4" s="8" t="str">
        <f t="shared" si="1"/>
        <v/>
      </c>
      <c r="AQ4" s="8" t="str">
        <f t="shared" si="1"/>
        <v/>
      </c>
      <c r="AR4" s="8" t="str">
        <f t="shared" si="1"/>
        <v/>
      </c>
      <c r="AS4" s="8" t="str">
        <f t="shared" si="1"/>
        <v/>
      </c>
      <c r="AT4" s="8" t="str">
        <f t="shared" si="1"/>
        <v/>
      </c>
      <c r="AU4" s="8" t="str">
        <f t="shared" si="1"/>
        <v/>
      </c>
      <c r="AV4" s="8" t="str">
        <f t="shared" si="1"/>
        <v/>
      </c>
      <c r="AW4" s="8" t="str">
        <f t="shared" si="1"/>
        <v/>
      </c>
      <c r="AX4" s="8" t="str">
        <f t="shared" si="1"/>
        <v/>
      </c>
      <c r="AY4" s="8" t="str">
        <f t="shared" si="1"/>
        <v/>
      </c>
      <c r="AZ4" s="8" t="str">
        <f t="shared" si="1"/>
        <v/>
      </c>
      <c r="BA4" s="8" t="str">
        <f t="shared" si="1"/>
        <v/>
      </c>
      <c r="BB4" s="8" t="str">
        <f t="shared" si="1"/>
        <v/>
      </c>
      <c r="BC4" s="8" t="str">
        <f t="shared" si="1"/>
        <v/>
      </c>
      <c r="BD4" s="8" t="str">
        <f t="shared" si="1"/>
        <v/>
      </c>
      <c r="BE4" s="8" t="str">
        <f t="shared" si="1"/>
        <v/>
      </c>
      <c r="BF4" s="8" t="str">
        <f t="shared" si="1"/>
        <v/>
      </c>
      <c r="BG4" s="8" t="str">
        <f t="shared" si="1"/>
        <v/>
      </c>
      <c r="BH4" s="8" t="str">
        <f t="shared" si="1"/>
        <v/>
      </c>
      <c r="BI4" s="8" t="str">
        <f t="shared" si="1"/>
        <v/>
      </c>
      <c r="BJ4" s="8" t="str">
        <f t="shared" si="1"/>
        <v/>
      </c>
      <c r="BK4" s="8" t="str">
        <f t="shared" si="1"/>
        <v/>
      </c>
      <c r="BL4" s="8" t="str">
        <f t="shared" si="1"/>
        <v/>
      </c>
      <c r="BM4" s="8">
        <f t="shared" si="1"/>
        <v>4</v>
      </c>
      <c r="BN4" s="8" t="str">
        <f t="shared" si="1"/>
        <v/>
      </c>
      <c r="BO4" s="8" t="str">
        <f t="shared" si="1"/>
        <v/>
      </c>
      <c r="BP4" s="8" t="str">
        <f t="shared" si="1"/>
        <v/>
      </c>
      <c r="BQ4" s="8" t="str">
        <f t="shared" si="1"/>
        <v/>
      </c>
      <c r="BR4" s="8" t="str">
        <f t="shared" si="1"/>
        <v/>
      </c>
      <c r="BS4" s="8" t="str">
        <f t="shared" si="1"/>
        <v/>
      </c>
      <c r="BT4" s="8" t="str">
        <f t="shared" si="1"/>
        <v/>
      </c>
      <c r="BU4" s="8" t="str">
        <f t="shared" si="1"/>
        <v/>
      </c>
      <c r="BV4" s="8" t="str">
        <f t="shared" si="1"/>
        <v/>
      </c>
      <c r="BW4" s="8" t="str">
        <f t="shared" si="1"/>
        <v/>
      </c>
      <c r="BX4" s="8" t="str">
        <f t="shared" ref="BX4:CT4" si="2">IF(DAY(BX7)=1,MONTH(BX7),"")</f>
        <v/>
      </c>
      <c r="BY4" s="8" t="str">
        <f t="shared" si="2"/>
        <v/>
      </c>
      <c r="BZ4" s="8" t="str">
        <f t="shared" si="2"/>
        <v/>
      </c>
      <c r="CA4" s="8" t="str">
        <f t="shared" si="2"/>
        <v/>
      </c>
      <c r="CB4" s="8" t="str">
        <f t="shared" si="2"/>
        <v/>
      </c>
      <c r="CC4" s="8" t="str">
        <f t="shared" si="2"/>
        <v/>
      </c>
      <c r="CD4" s="8" t="str">
        <f t="shared" si="2"/>
        <v/>
      </c>
      <c r="CE4" s="8" t="str">
        <f t="shared" si="2"/>
        <v/>
      </c>
      <c r="CF4" s="8" t="str">
        <f t="shared" si="2"/>
        <v/>
      </c>
      <c r="CG4" s="8" t="str">
        <f t="shared" si="2"/>
        <v/>
      </c>
      <c r="CH4" s="8" t="str">
        <f t="shared" si="2"/>
        <v/>
      </c>
      <c r="CI4" s="8" t="str">
        <f t="shared" si="2"/>
        <v/>
      </c>
      <c r="CJ4" s="8" t="str">
        <f t="shared" si="2"/>
        <v/>
      </c>
      <c r="CK4" s="8" t="str">
        <f t="shared" si="2"/>
        <v/>
      </c>
      <c r="CL4" s="8" t="str">
        <f t="shared" si="2"/>
        <v/>
      </c>
      <c r="CM4" s="8" t="str">
        <f t="shared" si="2"/>
        <v/>
      </c>
      <c r="CN4" s="8" t="str">
        <f t="shared" si="2"/>
        <v/>
      </c>
      <c r="CO4" s="8" t="str">
        <f t="shared" si="2"/>
        <v/>
      </c>
      <c r="CP4" s="8" t="str">
        <f t="shared" si="2"/>
        <v/>
      </c>
      <c r="CQ4" s="8">
        <f t="shared" si="2"/>
        <v>5</v>
      </c>
      <c r="CR4" s="8" t="str">
        <f t="shared" si="2"/>
        <v/>
      </c>
      <c r="CS4" s="8" t="str">
        <f t="shared" si="2"/>
        <v/>
      </c>
      <c r="CT4" s="8" t="str">
        <f t="shared" si="2"/>
        <v/>
      </c>
      <c r="CU4" s="41">
        <f>MONTH(CU7)</f>
        <v>2</v>
      </c>
      <c r="CV4" s="42" t="str">
        <f t="shared" ref="CV4:CY4" si="3">IF(MONTH(CU7)=MONTH(CV7),"",MONTH(CV7))</f>
        <v/>
      </c>
      <c r="CW4" s="42" t="str">
        <f t="shared" si="3"/>
        <v/>
      </c>
      <c r="CX4" s="42" t="str">
        <f t="shared" si="3"/>
        <v/>
      </c>
      <c r="CY4" s="42">
        <f t="shared" si="3"/>
        <v>3</v>
      </c>
      <c r="CZ4" s="42" t="str">
        <f t="shared" ref="CZ4" si="4">IF(MONTH(CY7)=MONTH(CZ7),"",MONTH(CZ7))</f>
        <v/>
      </c>
      <c r="DA4" s="42" t="str">
        <f t="shared" ref="DA4" si="5">IF(MONTH(CZ7)=MONTH(DA7),"",MONTH(DA7))</f>
        <v/>
      </c>
      <c r="DB4" s="42" t="str">
        <f t="shared" ref="DB4" si="6">IF(MONTH(DA7)=MONTH(DB7),"",MONTH(DB7))</f>
        <v/>
      </c>
      <c r="DC4" s="42" t="str">
        <f t="shared" ref="DC4" si="7">IF(MONTH(DB7)=MONTH(DC7),"",MONTH(DC7))</f>
        <v/>
      </c>
      <c r="DD4" s="42">
        <f t="shared" ref="DD4" si="8">IF(MONTH(DC7)=MONTH(DD7),"",MONTH(DD7))</f>
        <v>4</v>
      </c>
      <c r="DE4" s="42" t="str">
        <f t="shared" ref="DE4" si="9">IF(MONTH(DD7)=MONTH(DE7),"",MONTH(DE7))</f>
        <v/>
      </c>
      <c r="DF4" s="42" t="str">
        <f t="shared" ref="DF4" si="10">IF(MONTH(DE7)=MONTH(DF7),"",MONTH(DF7))</f>
        <v/>
      </c>
      <c r="DG4" s="42" t="str">
        <f t="shared" ref="DG4" si="11">IF(MONTH(DF7)=MONTH(DG7),"",MONTH(DG7))</f>
        <v/>
      </c>
      <c r="DH4" s="42">
        <f t="shared" ref="DH4" si="12">IF(MONTH(DG7)=MONTH(DH7),"",MONTH(DH7))</f>
        <v>5</v>
      </c>
      <c r="DI4" s="42" t="str">
        <f t="shared" ref="DI4" si="13">IF(MONTH(DH7)=MONTH(DI7),"",MONTH(DI7))</f>
        <v/>
      </c>
      <c r="DJ4" s="42" t="str">
        <f t="shared" ref="DJ4" si="14">IF(MONTH(DI7)=MONTH(DJ7),"",MONTH(DJ7))</f>
        <v/>
      </c>
      <c r="DK4" s="42" t="str">
        <f t="shared" ref="DK4" si="15">IF(MONTH(DJ7)=MONTH(DK7),"",MONTH(DK7))</f>
        <v/>
      </c>
      <c r="DL4" s="42">
        <f t="shared" ref="DL4" si="16">IF(MONTH(DK7)=MONTH(DL7),"",MONTH(DL7))</f>
        <v>6</v>
      </c>
      <c r="DM4" s="42" t="str">
        <f t="shared" ref="DM4" si="17">IF(MONTH(DL7)=MONTH(DM7),"",MONTH(DM7))</f>
        <v/>
      </c>
      <c r="DN4" s="42" t="str">
        <f t="shared" ref="DN4" si="18">IF(MONTH(DM7)=MONTH(DN7),"",MONTH(DN7))</f>
        <v/>
      </c>
      <c r="DO4" s="42" t="str">
        <f t="shared" ref="DO4" si="19">IF(MONTH(DN7)=MONTH(DO7),"",MONTH(DO7))</f>
        <v/>
      </c>
      <c r="DP4" s="42" t="str">
        <f t="shared" ref="DP4" si="20">IF(MONTH(DO7)=MONTH(DP7),"",MONTH(DP7))</f>
        <v/>
      </c>
      <c r="DQ4" s="42">
        <f t="shared" ref="DQ4" si="21">IF(MONTH(DP7)=MONTH(DQ7),"",MONTH(DQ7))</f>
        <v>7</v>
      </c>
      <c r="DR4" s="42" t="str">
        <f t="shared" ref="DR4" si="22">IF(MONTH(DQ7)=MONTH(DR7),"",MONTH(DR7))</f>
        <v/>
      </c>
      <c r="DS4" s="42" t="str">
        <f t="shared" ref="DS4" si="23">IF(MONTH(DR7)=MONTH(DS7),"",MONTH(DS7))</f>
        <v/>
      </c>
      <c r="DT4" s="42" t="str">
        <f t="shared" ref="DT4" si="24">IF(MONTH(DS7)=MONTH(DT7),"",MONTH(DT7))</f>
        <v/>
      </c>
      <c r="DU4" s="42">
        <f t="shared" ref="DU4" si="25">IF(MONTH(DT7)=MONTH(DU7),"",MONTH(DU7))</f>
        <v>8</v>
      </c>
    </row>
    <row r="5" spans="1:125" hidden="1">
      <c r="A5" t="s">
        <v>175</v>
      </c>
      <c r="C5" s="3"/>
      <c r="D5">
        <v>8</v>
      </c>
      <c r="E5" t="s">
        <v>53</v>
      </c>
      <c r="H5" t="s">
        <v>59</v>
      </c>
      <c r="I5" t="s">
        <v>6</v>
      </c>
      <c r="J5" s="5"/>
      <c r="K5" s="10"/>
      <c r="L5" s="10"/>
      <c r="M5">
        <f>D5</f>
        <v>8</v>
      </c>
      <c r="N5">
        <f>M5+1</f>
        <v>9</v>
      </c>
      <c r="O5">
        <f t="shared" ref="O5" si="26">N5+1</f>
        <v>10</v>
      </c>
      <c r="P5">
        <f t="shared" ref="P5" si="27">O5+1</f>
        <v>11</v>
      </c>
      <c r="Q5">
        <f t="shared" ref="Q5" si="28">P5+1</f>
        <v>12</v>
      </c>
      <c r="R5">
        <f t="shared" ref="R5" si="29">Q5+1</f>
        <v>13</v>
      </c>
      <c r="S5">
        <f t="shared" ref="S5" si="30">R5+1</f>
        <v>14</v>
      </c>
      <c r="T5">
        <f t="shared" ref="T5" si="31">S5+1</f>
        <v>15</v>
      </c>
      <c r="U5">
        <f t="shared" ref="U5" si="32">T5+1</f>
        <v>16</v>
      </c>
      <c r="V5">
        <f t="shared" ref="V5" si="33">U5+1</f>
        <v>17</v>
      </c>
      <c r="W5">
        <f t="shared" ref="W5" si="34">V5+1</f>
        <v>18</v>
      </c>
      <c r="X5">
        <f t="shared" ref="X5" si="35">W5+1</f>
        <v>19</v>
      </c>
      <c r="Y5">
        <f t="shared" ref="Y5" si="36">X5+1</f>
        <v>20</v>
      </c>
      <c r="Z5">
        <f t="shared" ref="Z5" si="37">Y5+1</f>
        <v>21</v>
      </c>
      <c r="AA5">
        <f t="shared" ref="AA5" si="38">Z5+1</f>
        <v>22</v>
      </c>
      <c r="AB5">
        <f t="shared" ref="AB5" si="39">AA5+1</f>
        <v>23</v>
      </c>
      <c r="AC5">
        <f t="shared" ref="AC5" si="40">AB5+1</f>
        <v>24</v>
      </c>
      <c r="AD5">
        <f t="shared" ref="AD5" si="41">AC5+1</f>
        <v>25</v>
      </c>
      <c r="AE5">
        <f t="shared" ref="AE5" si="42">AD5+1</f>
        <v>26</v>
      </c>
      <c r="AF5">
        <f t="shared" ref="AF5" si="43">AE5+1</f>
        <v>27</v>
      </c>
      <c r="AG5">
        <f t="shared" ref="AG5" si="44">AF5+1</f>
        <v>28</v>
      </c>
      <c r="AH5">
        <f t="shared" ref="AH5" si="45">AG5+1</f>
        <v>29</v>
      </c>
      <c r="AI5">
        <f t="shared" ref="AI5" si="46">AH5+1</f>
        <v>30</v>
      </c>
      <c r="AJ5">
        <f t="shared" ref="AJ5" si="47">AI5+1</f>
        <v>31</v>
      </c>
      <c r="AK5">
        <f t="shared" ref="AK5" si="48">AJ5+1</f>
        <v>32</v>
      </c>
      <c r="AL5">
        <f t="shared" ref="AL5" si="49">AK5+1</f>
        <v>33</v>
      </c>
      <c r="AM5">
        <f t="shared" ref="AM5" si="50">AL5+1</f>
        <v>34</v>
      </c>
      <c r="AN5">
        <f t="shared" ref="AN5" si="51">AM5+1</f>
        <v>35</v>
      </c>
      <c r="AO5">
        <f t="shared" ref="AO5" si="52">AN5+1</f>
        <v>36</v>
      </c>
      <c r="AP5">
        <f t="shared" ref="AP5" si="53">AO5+1</f>
        <v>37</v>
      </c>
      <c r="AQ5">
        <f t="shared" ref="AQ5" si="54">AP5+1</f>
        <v>38</v>
      </c>
      <c r="AR5">
        <f t="shared" ref="AR5" si="55">AQ5+1</f>
        <v>39</v>
      </c>
      <c r="AS5">
        <f t="shared" ref="AS5" si="56">AR5+1</f>
        <v>40</v>
      </c>
      <c r="AT5">
        <f t="shared" ref="AT5" si="57">AS5+1</f>
        <v>41</v>
      </c>
      <c r="AU5">
        <f t="shared" ref="AU5" si="58">AT5+1</f>
        <v>42</v>
      </c>
      <c r="AV5">
        <f t="shared" ref="AV5" si="59">AU5+1</f>
        <v>43</v>
      </c>
      <c r="AW5">
        <f t="shared" ref="AW5" si="60">AV5+1</f>
        <v>44</v>
      </c>
      <c r="AX5">
        <f t="shared" ref="AX5" si="61">AW5+1</f>
        <v>45</v>
      </c>
      <c r="AY5">
        <f t="shared" ref="AY5" si="62">AX5+1</f>
        <v>46</v>
      </c>
      <c r="AZ5">
        <f t="shared" ref="AZ5" si="63">AY5+1</f>
        <v>47</v>
      </c>
      <c r="BA5">
        <f t="shared" ref="BA5" si="64">AZ5+1</f>
        <v>48</v>
      </c>
      <c r="BB5">
        <f t="shared" ref="BB5" si="65">BA5+1</f>
        <v>49</v>
      </c>
      <c r="BC5">
        <f t="shared" ref="BC5" si="66">BB5+1</f>
        <v>50</v>
      </c>
      <c r="BD5">
        <f t="shared" ref="BD5" si="67">BC5+1</f>
        <v>51</v>
      </c>
      <c r="BE5">
        <f t="shared" ref="BE5" si="68">BD5+1</f>
        <v>52</v>
      </c>
      <c r="BF5">
        <f t="shared" ref="BF5" si="69">BE5+1</f>
        <v>53</v>
      </c>
      <c r="BG5">
        <f t="shared" ref="BG5" si="70">BF5+1</f>
        <v>54</v>
      </c>
      <c r="BH5">
        <f t="shared" ref="BH5" si="71">BG5+1</f>
        <v>55</v>
      </c>
      <c r="BI5">
        <f t="shared" ref="BI5" si="72">BH5+1</f>
        <v>56</v>
      </c>
      <c r="BJ5">
        <f t="shared" ref="BJ5" si="73">BI5+1</f>
        <v>57</v>
      </c>
      <c r="BK5">
        <f t="shared" ref="BK5" si="74">BJ5+1</f>
        <v>58</v>
      </c>
      <c r="BL5">
        <f t="shared" ref="BL5" si="75">BK5+1</f>
        <v>59</v>
      </c>
      <c r="BM5">
        <f t="shared" ref="BM5" si="76">BL5+1</f>
        <v>60</v>
      </c>
      <c r="BN5">
        <f t="shared" ref="BN5" si="77">BM5+1</f>
        <v>61</v>
      </c>
      <c r="BO5">
        <f t="shared" ref="BO5" si="78">BN5+1</f>
        <v>62</v>
      </c>
      <c r="BP5">
        <f t="shared" ref="BP5" si="79">BO5+1</f>
        <v>63</v>
      </c>
      <c r="BQ5">
        <f t="shared" ref="BQ5" si="80">BP5+1</f>
        <v>64</v>
      </c>
      <c r="BR5">
        <f t="shared" ref="BR5" si="81">BQ5+1</f>
        <v>65</v>
      </c>
      <c r="BS5">
        <f t="shared" ref="BS5" si="82">BR5+1</f>
        <v>66</v>
      </c>
      <c r="BT5">
        <f t="shared" ref="BT5" si="83">BS5+1</f>
        <v>67</v>
      </c>
      <c r="BU5">
        <f t="shared" ref="BU5" si="84">BT5+1</f>
        <v>68</v>
      </c>
      <c r="BV5">
        <f t="shared" ref="BV5" si="85">BU5+1</f>
        <v>69</v>
      </c>
      <c r="BW5">
        <f t="shared" ref="BW5" si="86">BV5+1</f>
        <v>70</v>
      </c>
      <c r="BX5">
        <f t="shared" ref="BX5" si="87">BW5+1</f>
        <v>71</v>
      </c>
      <c r="BY5">
        <f t="shared" ref="BY5" si="88">BX5+1</f>
        <v>72</v>
      </c>
      <c r="BZ5">
        <f t="shared" ref="BZ5" si="89">BY5+1</f>
        <v>73</v>
      </c>
      <c r="CA5">
        <f t="shared" ref="CA5" si="90">BZ5+1</f>
        <v>74</v>
      </c>
      <c r="CB5">
        <f t="shared" ref="CB5" si="91">CA5+1</f>
        <v>75</v>
      </c>
      <c r="CC5">
        <f t="shared" ref="CC5" si="92">CB5+1</f>
        <v>76</v>
      </c>
      <c r="CD5">
        <f t="shared" ref="CD5" si="93">CC5+1</f>
        <v>77</v>
      </c>
      <c r="CE5">
        <f t="shared" ref="CE5" si="94">CD5+1</f>
        <v>78</v>
      </c>
      <c r="CF5">
        <f t="shared" ref="CF5" si="95">CE5+1</f>
        <v>79</v>
      </c>
      <c r="CG5">
        <f t="shared" ref="CG5" si="96">CF5+1</f>
        <v>80</v>
      </c>
      <c r="CH5">
        <f t="shared" ref="CH5" si="97">CG5+1</f>
        <v>81</v>
      </c>
      <c r="CI5">
        <f t="shared" ref="CI5" si="98">CH5+1</f>
        <v>82</v>
      </c>
      <c r="CJ5">
        <f t="shared" ref="CJ5" si="99">CI5+1</f>
        <v>83</v>
      </c>
      <c r="CK5">
        <f t="shared" ref="CK5" si="100">CJ5+1</f>
        <v>84</v>
      </c>
      <c r="CL5">
        <f t="shared" ref="CL5" si="101">CK5+1</f>
        <v>85</v>
      </c>
      <c r="CM5">
        <f t="shared" ref="CM5" si="102">CL5+1</f>
        <v>86</v>
      </c>
      <c r="CN5">
        <f t="shared" ref="CN5" si="103">CM5+1</f>
        <v>87</v>
      </c>
      <c r="CO5">
        <f t="shared" ref="CO5" si="104">CN5+1</f>
        <v>88</v>
      </c>
      <c r="CP5">
        <f t="shared" ref="CP5" si="105">CO5+1</f>
        <v>89</v>
      </c>
      <c r="CQ5">
        <f t="shared" ref="CQ5" si="106">CP5+1</f>
        <v>90</v>
      </c>
      <c r="CR5">
        <f t="shared" ref="CR5" si="107">CQ5+1</f>
        <v>91</v>
      </c>
      <c r="CS5">
        <f t="shared" ref="CS5" si="108">CR5+1</f>
        <v>92</v>
      </c>
      <c r="CT5">
        <f t="shared" ref="CT5" si="109">CS5+1</f>
        <v>93</v>
      </c>
      <c r="CU5" s="14">
        <v>3</v>
      </c>
      <c r="CV5">
        <f t="shared" ref="CV5:CY5" si="110">CU5+7</f>
        <v>10</v>
      </c>
      <c r="CW5">
        <f t="shared" si="110"/>
        <v>17</v>
      </c>
      <c r="CX5">
        <f t="shared" si="110"/>
        <v>24</v>
      </c>
      <c r="CY5">
        <f t="shared" si="110"/>
        <v>31</v>
      </c>
      <c r="CZ5">
        <f t="shared" ref="CZ5:DA5" si="111">CY5+7</f>
        <v>38</v>
      </c>
      <c r="DA5">
        <f t="shared" si="111"/>
        <v>45</v>
      </c>
      <c r="DB5">
        <f t="shared" ref="DB5" si="112">DA5+7</f>
        <v>52</v>
      </c>
      <c r="DC5">
        <f t="shared" ref="DC5" si="113">DB5+7</f>
        <v>59</v>
      </c>
      <c r="DD5">
        <f t="shared" ref="DD5" si="114">DC5+7</f>
        <v>66</v>
      </c>
      <c r="DE5">
        <f t="shared" ref="DE5" si="115">DD5+7</f>
        <v>73</v>
      </c>
      <c r="DF5">
        <f t="shared" ref="DF5" si="116">DE5+7</f>
        <v>80</v>
      </c>
      <c r="DG5">
        <f t="shared" ref="DG5" si="117">DF5+7</f>
        <v>87</v>
      </c>
      <c r="DH5">
        <f t="shared" ref="DH5" si="118">DG5+7</f>
        <v>94</v>
      </c>
      <c r="DI5">
        <f t="shared" ref="DI5" si="119">DH5+7</f>
        <v>101</v>
      </c>
      <c r="DJ5">
        <f t="shared" ref="DJ5" si="120">DI5+7</f>
        <v>108</v>
      </c>
      <c r="DK5">
        <f t="shared" ref="DK5" si="121">DJ5+7</f>
        <v>115</v>
      </c>
      <c r="DL5">
        <f t="shared" ref="DL5" si="122">DK5+7</f>
        <v>122</v>
      </c>
      <c r="DM5">
        <f t="shared" ref="DM5" si="123">DL5+7</f>
        <v>129</v>
      </c>
      <c r="DN5">
        <f t="shared" ref="DN5" si="124">DM5+7</f>
        <v>136</v>
      </c>
      <c r="DO5">
        <f t="shared" ref="DO5" si="125">DN5+7</f>
        <v>143</v>
      </c>
      <c r="DP5">
        <f t="shared" ref="DP5" si="126">DO5+7</f>
        <v>150</v>
      </c>
      <c r="DQ5">
        <f t="shared" ref="DQ5" si="127">DP5+7</f>
        <v>157</v>
      </c>
      <c r="DR5">
        <f t="shared" ref="DR5" si="128">DQ5+7</f>
        <v>164</v>
      </c>
      <c r="DS5">
        <f t="shared" ref="DS5" si="129">DR5+7</f>
        <v>171</v>
      </c>
      <c r="DT5">
        <f t="shared" ref="DT5" si="130">DS5+7</f>
        <v>178</v>
      </c>
      <c r="DU5">
        <f t="shared" ref="DU5" si="131">DT5+7</f>
        <v>185</v>
      </c>
    </row>
    <row r="6" spans="1:125">
      <c r="A6" s="5"/>
      <c r="B6" s="5"/>
      <c r="C6" s="5"/>
      <c r="D6" s="5" t="s">
        <v>62</v>
      </c>
      <c r="E6" s="5" t="s">
        <v>63</v>
      </c>
      <c r="F6" s="5" t="s">
        <v>66</v>
      </c>
      <c r="G6" s="5" t="s">
        <v>66</v>
      </c>
      <c r="H6" s="5"/>
      <c r="I6" s="5"/>
      <c r="J6" s="45" t="s">
        <v>10</v>
      </c>
      <c r="K6" s="46"/>
      <c r="L6" s="47"/>
      <c r="M6" s="4">
        <f t="shared" ref="M6:BW6" si="132">WEEKDAY(M7,2)</f>
        <v>6</v>
      </c>
      <c r="N6" s="4">
        <f t="shared" si="132"/>
        <v>7</v>
      </c>
      <c r="O6" s="4">
        <f t="shared" si="132"/>
        <v>1</v>
      </c>
      <c r="P6" s="4">
        <f t="shared" si="132"/>
        <v>2</v>
      </c>
      <c r="Q6" s="4">
        <f t="shared" si="132"/>
        <v>3</v>
      </c>
      <c r="R6" s="4">
        <f t="shared" si="132"/>
        <v>4</v>
      </c>
      <c r="S6" s="4">
        <f t="shared" si="132"/>
        <v>5</v>
      </c>
      <c r="T6" s="4">
        <f t="shared" si="132"/>
        <v>6</v>
      </c>
      <c r="U6" s="4">
        <f t="shared" si="132"/>
        <v>7</v>
      </c>
      <c r="V6" s="4">
        <f t="shared" si="132"/>
        <v>1</v>
      </c>
      <c r="W6" s="4">
        <f t="shared" si="132"/>
        <v>2</v>
      </c>
      <c r="X6" s="4">
        <f t="shared" si="132"/>
        <v>3</v>
      </c>
      <c r="Y6" s="4">
        <f t="shared" si="132"/>
        <v>4</v>
      </c>
      <c r="Z6" s="4">
        <f t="shared" si="132"/>
        <v>5</v>
      </c>
      <c r="AA6" s="4">
        <f t="shared" si="132"/>
        <v>6</v>
      </c>
      <c r="AB6" s="4">
        <f t="shared" si="132"/>
        <v>7</v>
      </c>
      <c r="AC6" s="4">
        <f t="shared" si="132"/>
        <v>1</v>
      </c>
      <c r="AD6" s="4">
        <f t="shared" si="132"/>
        <v>2</v>
      </c>
      <c r="AE6" s="4">
        <f t="shared" si="132"/>
        <v>3</v>
      </c>
      <c r="AF6" s="4">
        <f t="shared" si="132"/>
        <v>4</v>
      </c>
      <c r="AG6" s="4">
        <f t="shared" si="132"/>
        <v>5</v>
      </c>
      <c r="AH6" s="4">
        <f t="shared" si="132"/>
        <v>6</v>
      </c>
      <c r="AI6" s="4">
        <f t="shared" si="132"/>
        <v>7</v>
      </c>
      <c r="AJ6" s="4">
        <f t="shared" si="132"/>
        <v>1</v>
      </c>
      <c r="AK6" s="4">
        <f t="shared" si="132"/>
        <v>2</v>
      </c>
      <c r="AL6" s="4">
        <f t="shared" si="132"/>
        <v>3</v>
      </c>
      <c r="AM6" s="4">
        <f t="shared" si="132"/>
        <v>4</v>
      </c>
      <c r="AN6" s="4">
        <f t="shared" si="132"/>
        <v>5</v>
      </c>
      <c r="AO6" s="4">
        <f t="shared" si="132"/>
        <v>6</v>
      </c>
      <c r="AP6" s="4">
        <f t="shared" si="132"/>
        <v>7</v>
      </c>
      <c r="AQ6" s="4">
        <f t="shared" si="132"/>
        <v>1</v>
      </c>
      <c r="AR6" s="4">
        <f t="shared" si="132"/>
        <v>2</v>
      </c>
      <c r="AS6" s="4">
        <f t="shared" si="132"/>
        <v>3</v>
      </c>
      <c r="AT6" s="4">
        <f t="shared" si="132"/>
        <v>4</v>
      </c>
      <c r="AU6" s="4">
        <f t="shared" si="132"/>
        <v>5</v>
      </c>
      <c r="AV6" s="4">
        <f t="shared" si="132"/>
        <v>6</v>
      </c>
      <c r="AW6" s="4">
        <f t="shared" si="132"/>
        <v>7</v>
      </c>
      <c r="AX6" s="4">
        <f t="shared" si="132"/>
        <v>1</v>
      </c>
      <c r="AY6" s="4">
        <f t="shared" si="132"/>
        <v>2</v>
      </c>
      <c r="AZ6" s="4">
        <f t="shared" si="132"/>
        <v>3</v>
      </c>
      <c r="BA6" s="4">
        <f t="shared" si="132"/>
        <v>4</v>
      </c>
      <c r="BB6" s="4">
        <f t="shared" si="132"/>
        <v>5</v>
      </c>
      <c r="BC6" s="4">
        <f t="shared" si="132"/>
        <v>6</v>
      </c>
      <c r="BD6" s="4">
        <f t="shared" si="132"/>
        <v>7</v>
      </c>
      <c r="BE6" s="4">
        <f t="shared" si="132"/>
        <v>1</v>
      </c>
      <c r="BF6" s="4">
        <f t="shared" si="132"/>
        <v>2</v>
      </c>
      <c r="BG6" s="4">
        <f t="shared" si="132"/>
        <v>3</v>
      </c>
      <c r="BH6" s="4">
        <f t="shared" si="132"/>
        <v>4</v>
      </c>
      <c r="BI6" s="4">
        <f t="shared" si="132"/>
        <v>5</v>
      </c>
      <c r="BJ6" s="4">
        <f t="shared" si="132"/>
        <v>6</v>
      </c>
      <c r="BK6" s="4">
        <f t="shared" si="132"/>
        <v>7</v>
      </c>
      <c r="BL6" s="4">
        <f t="shared" si="132"/>
        <v>1</v>
      </c>
      <c r="BM6" s="4">
        <f t="shared" si="132"/>
        <v>2</v>
      </c>
      <c r="BN6" s="4">
        <f t="shared" si="132"/>
        <v>3</v>
      </c>
      <c r="BO6" s="4">
        <f t="shared" si="132"/>
        <v>4</v>
      </c>
      <c r="BP6" s="4">
        <f t="shared" si="132"/>
        <v>5</v>
      </c>
      <c r="BQ6" s="4">
        <f t="shared" si="132"/>
        <v>6</v>
      </c>
      <c r="BR6" s="4">
        <f t="shared" si="132"/>
        <v>7</v>
      </c>
      <c r="BS6" s="4">
        <f t="shared" si="132"/>
        <v>1</v>
      </c>
      <c r="BT6" s="4">
        <f t="shared" si="132"/>
        <v>2</v>
      </c>
      <c r="BU6" s="4">
        <f t="shared" si="132"/>
        <v>3</v>
      </c>
      <c r="BV6" s="4">
        <f t="shared" si="132"/>
        <v>4</v>
      </c>
      <c r="BW6" s="4">
        <f t="shared" si="132"/>
        <v>5</v>
      </c>
      <c r="BX6" s="4">
        <f t="shared" ref="BX6:CT6" si="133">WEEKDAY(BX7,2)</f>
        <v>6</v>
      </c>
      <c r="BY6" s="4">
        <f t="shared" si="133"/>
        <v>7</v>
      </c>
      <c r="BZ6" s="4">
        <f t="shared" si="133"/>
        <v>1</v>
      </c>
      <c r="CA6" s="4">
        <f t="shared" si="133"/>
        <v>2</v>
      </c>
      <c r="CB6" s="4">
        <f t="shared" si="133"/>
        <v>3</v>
      </c>
      <c r="CC6" s="4">
        <f t="shared" si="133"/>
        <v>4</v>
      </c>
      <c r="CD6" s="4">
        <f t="shared" si="133"/>
        <v>5</v>
      </c>
      <c r="CE6" s="4">
        <f t="shared" si="133"/>
        <v>6</v>
      </c>
      <c r="CF6" s="4">
        <f t="shared" si="133"/>
        <v>7</v>
      </c>
      <c r="CG6" s="4">
        <f t="shared" si="133"/>
        <v>1</v>
      </c>
      <c r="CH6" s="4">
        <f t="shared" si="133"/>
        <v>2</v>
      </c>
      <c r="CI6" s="4">
        <f t="shared" si="133"/>
        <v>3</v>
      </c>
      <c r="CJ6" s="4">
        <f t="shared" si="133"/>
        <v>4</v>
      </c>
      <c r="CK6" s="4">
        <f t="shared" si="133"/>
        <v>5</v>
      </c>
      <c r="CL6" s="4">
        <f t="shared" si="133"/>
        <v>6</v>
      </c>
      <c r="CM6" s="4">
        <f t="shared" si="133"/>
        <v>7</v>
      </c>
      <c r="CN6" s="4">
        <f t="shared" si="133"/>
        <v>1</v>
      </c>
      <c r="CO6" s="4">
        <f t="shared" si="133"/>
        <v>2</v>
      </c>
      <c r="CP6" s="4">
        <f t="shared" si="133"/>
        <v>3</v>
      </c>
      <c r="CQ6" s="4">
        <f t="shared" si="133"/>
        <v>4</v>
      </c>
      <c r="CR6" s="4">
        <f t="shared" si="133"/>
        <v>5</v>
      </c>
      <c r="CS6" s="4">
        <f t="shared" si="133"/>
        <v>6</v>
      </c>
      <c r="CT6" s="4">
        <f t="shared" si="133"/>
        <v>7</v>
      </c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</row>
    <row r="7" spans="1:125">
      <c r="A7" s="6" t="s">
        <v>1</v>
      </c>
      <c r="B7" s="6" t="s">
        <v>0</v>
      </c>
      <c r="C7" s="6" t="s">
        <v>3</v>
      </c>
      <c r="D7" s="6" t="s">
        <v>7</v>
      </c>
      <c r="E7" s="6" t="s">
        <v>4</v>
      </c>
      <c r="F7" s="6" t="s">
        <v>7</v>
      </c>
      <c r="G7" s="6" t="s">
        <v>4</v>
      </c>
      <c r="H7" s="6" t="s">
        <v>8</v>
      </c>
      <c r="I7" s="6" t="s">
        <v>2</v>
      </c>
      <c r="J7" s="11" t="s">
        <v>11</v>
      </c>
      <c r="K7" s="12" t="s">
        <v>48</v>
      </c>
      <c r="L7" s="12" t="s">
        <v>12</v>
      </c>
      <c r="M7" s="4">
        <f>DATE($C$2,$E$2,M5)</f>
        <v>45696</v>
      </c>
      <c r="N7" s="4">
        <f t="shared" ref="N7:O7" si="134">DATE($C$2,$E$2,N5)</f>
        <v>45697</v>
      </c>
      <c r="O7" s="4">
        <f t="shared" si="134"/>
        <v>45698</v>
      </c>
      <c r="P7" s="4">
        <f t="shared" ref="P7:BW7" si="135">DATE($C$2,$E$2,P5)</f>
        <v>45699</v>
      </c>
      <c r="Q7" s="4">
        <f t="shared" si="135"/>
        <v>45700</v>
      </c>
      <c r="R7" s="4">
        <f t="shared" si="135"/>
        <v>45701</v>
      </c>
      <c r="S7" s="4">
        <f t="shared" si="135"/>
        <v>45702</v>
      </c>
      <c r="T7" s="4">
        <f t="shared" si="135"/>
        <v>45703</v>
      </c>
      <c r="U7" s="4">
        <f t="shared" si="135"/>
        <v>45704</v>
      </c>
      <c r="V7" s="4">
        <f t="shared" si="135"/>
        <v>45705</v>
      </c>
      <c r="W7" s="4">
        <f t="shared" si="135"/>
        <v>45706</v>
      </c>
      <c r="X7" s="4">
        <f t="shared" si="135"/>
        <v>45707</v>
      </c>
      <c r="Y7" s="4">
        <f t="shared" si="135"/>
        <v>45708</v>
      </c>
      <c r="Z7" s="4">
        <f t="shared" si="135"/>
        <v>45709</v>
      </c>
      <c r="AA7" s="4">
        <f t="shared" si="135"/>
        <v>45710</v>
      </c>
      <c r="AB7" s="4">
        <f t="shared" si="135"/>
        <v>45711</v>
      </c>
      <c r="AC7" s="4">
        <f t="shared" si="135"/>
        <v>45712</v>
      </c>
      <c r="AD7" s="4">
        <f t="shared" si="135"/>
        <v>45713</v>
      </c>
      <c r="AE7" s="4">
        <f t="shared" si="135"/>
        <v>45714</v>
      </c>
      <c r="AF7" s="4">
        <f t="shared" si="135"/>
        <v>45715</v>
      </c>
      <c r="AG7" s="4">
        <f t="shared" si="135"/>
        <v>45716</v>
      </c>
      <c r="AH7" s="4">
        <f t="shared" si="135"/>
        <v>45717</v>
      </c>
      <c r="AI7" s="4">
        <f t="shared" si="135"/>
        <v>45718</v>
      </c>
      <c r="AJ7" s="4">
        <f t="shared" si="135"/>
        <v>45719</v>
      </c>
      <c r="AK7" s="4">
        <f t="shared" si="135"/>
        <v>45720</v>
      </c>
      <c r="AL7" s="4">
        <f t="shared" si="135"/>
        <v>45721</v>
      </c>
      <c r="AM7" s="4">
        <f t="shared" si="135"/>
        <v>45722</v>
      </c>
      <c r="AN7" s="4">
        <f t="shared" si="135"/>
        <v>45723</v>
      </c>
      <c r="AO7" s="4">
        <f t="shared" si="135"/>
        <v>45724</v>
      </c>
      <c r="AP7" s="4">
        <f t="shared" si="135"/>
        <v>45725</v>
      </c>
      <c r="AQ7" s="4">
        <f t="shared" si="135"/>
        <v>45726</v>
      </c>
      <c r="AR7" s="4">
        <f t="shared" si="135"/>
        <v>45727</v>
      </c>
      <c r="AS7" s="4">
        <f t="shared" si="135"/>
        <v>45728</v>
      </c>
      <c r="AT7" s="4">
        <f t="shared" si="135"/>
        <v>45729</v>
      </c>
      <c r="AU7" s="4">
        <f t="shared" si="135"/>
        <v>45730</v>
      </c>
      <c r="AV7" s="4">
        <f t="shared" si="135"/>
        <v>45731</v>
      </c>
      <c r="AW7" s="4">
        <f t="shared" si="135"/>
        <v>45732</v>
      </c>
      <c r="AX7" s="4">
        <f t="shared" si="135"/>
        <v>45733</v>
      </c>
      <c r="AY7" s="4">
        <f t="shared" si="135"/>
        <v>45734</v>
      </c>
      <c r="AZ7" s="4">
        <f t="shared" si="135"/>
        <v>45735</v>
      </c>
      <c r="BA7" s="4">
        <f t="shared" si="135"/>
        <v>45736</v>
      </c>
      <c r="BB7" s="4">
        <f t="shared" si="135"/>
        <v>45737</v>
      </c>
      <c r="BC7" s="4">
        <f t="shared" si="135"/>
        <v>45738</v>
      </c>
      <c r="BD7" s="4">
        <f t="shared" si="135"/>
        <v>45739</v>
      </c>
      <c r="BE7" s="4">
        <f t="shared" si="135"/>
        <v>45740</v>
      </c>
      <c r="BF7" s="4">
        <f t="shared" si="135"/>
        <v>45741</v>
      </c>
      <c r="BG7" s="4">
        <f t="shared" si="135"/>
        <v>45742</v>
      </c>
      <c r="BH7" s="4">
        <f t="shared" si="135"/>
        <v>45743</v>
      </c>
      <c r="BI7" s="4">
        <f t="shared" si="135"/>
        <v>45744</v>
      </c>
      <c r="BJ7" s="4">
        <f t="shared" si="135"/>
        <v>45745</v>
      </c>
      <c r="BK7" s="4">
        <f t="shared" si="135"/>
        <v>45746</v>
      </c>
      <c r="BL7" s="4">
        <f t="shared" si="135"/>
        <v>45747</v>
      </c>
      <c r="BM7" s="4">
        <f t="shared" si="135"/>
        <v>45748</v>
      </c>
      <c r="BN7" s="4">
        <f t="shared" si="135"/>
        <v>45749</v>
      </c>
      <c r="BO7" s="4">
        <f t="shared" si="135"/>
        <v>45750</v>
      </c>
      <c r="BP7" s="4">
        <f t="shared" si="135"/>
        <v>45751</v>
      </c>
      <c r="BQ7" s="4">
        <f t="shared" si="135"/>
        <v>45752</v>
      </c>
      <c r="BR7" s="4">
        <f t="shared" si="135"/>
        <v>45753</v>
      </c>
      <c r="BS7" s="4">
        <f t="shared" si="135"/>
        <v>45754</v>
      </c>
      <c r="BT7" s="4">
        <f t="shared" si="135"/>
        <v>45755</v>
      </c>
      <c r="BU7" s="4">
        <f t="shared" si="135"/>
        <v>45756</v>
      </c>
      <c r="BV7" s="4">
        <f t="shared" si="135"/>
        <v>45757</v>
      </c>
      <c r="BW7" s="4">
        <f t="shared" si="135"/>
        <v>45758</v>
      </c>
      <c r="BX7" s="4">
        <f t="shared" ref="BX7:CT7" si="136">DATE($C$2,$E$2,BX5)</f>
        <v>45759</v>
      </c>
      <c r="BY7" s="4">
        <f t="shared" si="136"/>
        <v>45760</v>
      </c>
      <c r="BZ7" s="4">
        <f t="shared" si="136"/>
        <v>45761</v>
      </c>
      <c r="CA7" s="4">
        <f t="shared" si="136"/>
        <v>45762</v>
      </c>
      <c r="CB7" s="4">
        <f t="shared" si="136"/>
        <v>45763</v>
      </c>
      <c r="CC7" s="4">
        <f t="shared" si="136"/>
        <v>45764</v>
      </c>
      <c r="CD7" s="4">
        <f t="shared" si="136"/>
        <v>45765</v>
      </c>
      <c r="CE7" s="4">
        <f t="shared" si="136"/>
        <v>45766</v>
      </c>
      <c r="CF7" s="4">
        <f t="shared" si="136"/>
        <v>45767</v>
      </c>
      <c r="CG7" s="4">
        <f t="shared" si="136"/>
        <v>45768</v>
      </c>
      <c r="CH7" s="4">
        <f t="shared" si="136"/>
        <v>45769</v>
      </c>
      <c r="CI7" s="4">
        <f t="shared" si="136"/>
        <v>45770</v>
      </c>
      <c r="CJ7" s="4">
        <f t="shared" si="136"/>
        <v>45771</v>
      </c>
      <c r="CK7" s="4">
        <f t="shared" si="136"/>
        <v>45772</v>
      </c>
      <c r="CL7" s="4">
        <f t="shared" si="136"/>
        <v>45773</v>
      </c>
      <c r="CM7" s="4">
        <f t="shared" si="136"/>
        <v>45774</v>
      </c>
      <c r="CN7" s="4">
        <f t="shared" si="136"/>
        <v>45775</v>
      </c>
      <c r="CO7" s="4">
        <f t="shared" si="136"/>
        <v>45776</v>
      </c>
      <c r="CP7" s="4">
        <f t="shared" si="136"/>
        <v>45777</v>
      </c>
      <c r="CQ7" s="4">
        <f t="shared" si="136"/>
        <v>45778</v>
      </c>
      <c r="CR7" s="4">
        <f t="shared" si="136"/>
        <v>45779</v>
      </c>
      <c r="CS7" s="4">
        <f t="shared" si="136"/>
        <v>45780</v>
      </c>
      <c r="CT7" s="4">
        <f t="shared" si="136"/>
        <v>45781</v>
      </c>
      <c r="CU7" s="44">
        <f t="shared" ref="CU7:CV7" si="137">DATE($C$2,$E$2,CU5)</f>
        <v>45691</v>
      </c>
      <c r="CV7" s="44">
        <f t="shared" si="137"/>
        <v>45698</v>
      </c>
      <c r="CW7" s="44">
        <f t="shared" ref="CW7:CY7" si="138">DATE($C$2,$E$2,CW5)</f>
        <v>45705</v>
      </c>
      <c r="CX7" s="44">
        <f t="shared" si="138"/>
        <v>45712</v>
      </c>
      <c r="CY7" s="44">
        <f t="shared" si="138"/>
        <v>45719</v>
      </c>
      <c r="CZ7" s="44">
        <f t="shared" ref="CZ7:DU7" si="139">DATE($C$2,$E$2,CZ5)</f>
        <v>45726</v>
      </c>
      <c r="DA7" s="44">
        <f t="shared" ref="DA7:DD7" si="140">DATE($C$2,$E$2,DA5)</f>
        <v>45733</v>
      </c>
      <c r="DB7" s="44">
        <f t="shared" si="140"/>
        <v>45740</v>
      </c>
      <c r="DC7" s="44">
        <f t="shared" si="140"/>
        <v>45747</v>
      </c>
      <c r="DD7" s="44">
        <f t="shared" si="140"/>
        <v>45754</v>
      </c>
      <c r="DE7" s="44">
        <f t="shared" si="139"/>
        <v>45761</v>
      </c>
      <c r="DF7" s="44">
        <f t="shared" si="139"/>
        <v>45768</v>
      </c>
      <c r="DG7" s="44">
        <f t="shared" si="139"/>
        <v>45775</v>
      </c>
      <c r="DH7" s="44">
        <f t="shared" si="139"/>
        <v>45782</v>
      </c>
      <c r="DI7" s="44">
        <f t="shared" si="139"/>
        <v>45789</v>
      </c>
      <c r="DJ7" s="44">
        <f t="shared" si="139"/>
        <v>45796</v>
      </c>
      <c r="DK7" s="44">
        <f t="shared" si="139"/>
        <v>45803</v>
      </c>
      <c r="DL7" s="44">
        <f t="shared" si="139"/>
        <v>45810</v>
      </c>
      <c r="DM7" s="44">
        <f t="shared" si="139"/>
        <v>45817</v>
      </c>
      <c r="DN7" s="44">
        <f t="shared" si="139"/>
        <v>45824</v>
      </c>
      <c r="DO7" s="44">
        <f t="shared" si="139"/>
        <v>45831</v>
      </c>
      <c r="DP7" s="44">
        <f t="shared" si="139"/>
        <v>45838</v>
      </c>
      <c r="DQ7" s="44">
        <f t="shared" si="139"/>
        <v>45845</v>
      </c>
      <c r="DR7" s="44">
        <f t="shared" si="139"/>
        <v>45852</v>
      </c>
      <c r="DS7" s="44">
        <f t="shared" si="139"/>
        <v>45859</v>
      </c>
      <c r="DT7" s="44">
        <f t="shared" si="139"/>
        <v>45866</v>
      </c>
      <c r="DU7" s="44">
        <f t="shared" si="139"/>
        <v>45873</v>
      </c>
    </row>
    <row r="8" spans="1:125" ht="33.75" customHeight="1">
      <c r="A8" s="48"/>
      <c r="B8" s="49"/>
      <c r="C8" s="50"/>
      <c r="D8" s="51"/>
      <c r="E8" s="51"/>
      <c r="F8" s="51"/>
      <c r="G8" s="51"/>
      <c r="H8" s="52"/>
      <c r="I8" s="53"/>
      <c r="J8" s="50"/>
      <c r="K8" s="54"/>
      <c r="L8" s="55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 t="s">
        <v>191</v>
      </c>
      <c r="CW8" s="56"/>
      <c r="CX8" s="56"/>
      <c r="CY8" s="56"/>
      <c r="CZ8" s="56"/>
      <c r="DA8" s="56" t="s">
        <v>190</v>
      </c>
      <c r="DB8" s="56"/>
      <c r="DC8" s="56"/>
      <c r="DD8" s="56"/>
      <c r="DE8" s="56" t="s">
        <v>188</v>
      </c>
      <c r="DF8" s="56"/>
      <c r="DG8" s="56"/>
      <c r="DH8" s="56"/>
      <c r="DI8" s="56"/>
      <c r="DJ8" s="56"/>
      <c r="DK8" s="56" t="s">
        <v>189</v>
      </c>
      <c r="DL8" s="56"/>
      <c r="DM8" s="56"/>
      <c r="DN8" s="56"/>
      <c r="DO8" s="56"/>
      <c r="DP8" s="56"/>
      <c r="DQ8" s="56"/>
      <c r="DR8" s="56"/>
      <c r="DS8" s="56"/>
      <c r="DT8" s="56"/>
      <c r="DU8" s="56"/>
    </row>
    <row r="9" spans="1:125">
      <c r="A9" s="13">
        <v>1</v>
      </c>
      <c r="B9" s="15" t="s">
        <v>184</v>
      </c>
      <c r="C9" s="15"/>
      <c r="D9" s="15"/>
      <c r="E9" s="15"/>
      <c r="F9" s="15"/>
      <c r="G9" s="15"/>
      <c r="H9" s="29">
        <v>0</v>
      </c>
      <c r="I9" s="15" t="s">
        <v>155</v>
      </c>
      <c r="J9" s="15" t="s">
        <v>165</v>
      </c>
      <c r="K9" s="14"/>
      <c r="L9" s="64"/>
      <c r="M9" t="str">
        <f t="shared" ref="M9:AB43" si="141">IF(M$7&lt;=$E9,IF(M$7&gt;=$D9,IF(((M$7-$D9+1)/($E9-$D9+1))&lt;=$H9,$E$5,IF(M$7&lt;$I$1,$H$5,"")),""),"")</f>
        <v/>
      </c>
      <c r="N9" t="str">
        <f t="shared" si="141"/>
        <v/>
      </c>
      <c r="O9" t="str">
        <f t="shared" ref="O9:AD43" si="142">IF(O$7&lt;=$E9,IF(O$7&gt;=$D9,IF(((O$7-$D9+1)/($E9-$D9+1))&lt;=$H9,$E$5,IF(O$7&lt;$I$1,$H$5,"")),""),"")</f>
        <v/>
      </c>
      <c r="P9" t="str">
        <f t="shared" si="142"/>
        <v/>
      </c>
      <c r="Q9" t="str">
        <f t="shared" si="142"/>
        <v/>
      </c>
      <c r="R9" t="str">
        <f t="shared" si="142"/>
        <v/>
      </c>
      <c r="S9" t="str">
        <f t="shared" si="142"/>
        <v/>
      </c>
      <c r="T9" t="str">
        <f t="shared" si="142"/>
        <v/>
      </c>
      <c r="U9" t="str">
        <f t="shared" si="142"/>
        <v/>
      </c>
      <c r="V9" t="str">
        <f t="shared" si="142"/>
        <v/>
      </c>
      <c r="W9" t="str">
        <f t="shared" si="142"/>
        <v/>
      </c>
      <c r="X9" t="str">
        <f t="shared" si="142"/>
        <v/>
      </c>
      <c r="Y9" t="str">
        <f t="shared" si="142"/>
        <v/>
      </c>
      <c r="Z9" t="str">
        <f t="shared" si="142"/>
        <v/>
      </c>
      <c r="AA9" t="str">
        <f t="shared" si="142"/>
        <v/>
      </c>
      <c r="AB9" t="str">
        <f t="shared" si="142"/>
        <v/>
      </c>
      <c r="AC9" t="str">
        <f t="shared" si="142"/>
        <v/>
      </c>
      <c r="AD9" t="str">
        <f t="shared" si="142"/>
        <v/>
      </c>
      <c r="AE9" t="str">
        <f t="shared" ref="AE9:BW9" si="143">IF(AE$7&lt;=$E9,IF(AE$7&gt;=$D9,IF(((AE$7-$D9+1)/($E9-$D9+1))&lt;=$H9,$E$5,IF(AE$7&lt;$I$1,$H$5,"")),""),"")</f>
        <v/>
      </c>
      <c r="AF9" t="str">
        <f t="shared" si="143"/>
        <v/>
      </c>
      <c r="AG9" t="str">
        <f t="shared" si="143"/>
        <v/>
      </c>
      <c r="AH9" t="str">
        <f t="shared" si="143"/>
        <v/>
      </c>
      <c r="AI9" t="str">
        <f t="shared" si="143"/>
        <v/>
      </c>
      <c r="AJ9" t="str">
        <f t="shared" si="143"/>
        <v/>
      </c>
      <c r="AK9" t="str">
        <f t="shared" si="143"/>
        <v/>
      </c>
      <c r="AL9" t="str">
        <f t="shared" si="143"/>
        <v/>
      </c>
      <c r="AM9" t="str">
        <f t="shared" si="143"/>
        <v/>
      </c>
      <c r="AN9" t="str">
        <f t="shared" si="143"/>
        <v/>
      </c>
      <c r="AO9" t="str">
        <f t="shared" si="143"/>
        <v/>
      </c>
      <c r="AP9" t="str">
        <f t="shared" si="143"/>
        <v/>
      </c>
      <c r="AQ9" t="str">
        <f t="shared" si="143"/>
        <v/>
      </c>
      <c r="AR9" t="str">
        <f t="shared" si="143"/>
        <v/>
      </c>
      <c r="AS9" t="str">
        <f t="shared" si="143"/>
        <v/>
      </c>
      <c r="AT9" t="str">
        <f t="shared" si="143"/>
        <v/>
      </c>
      <c r="AU9" t="str">
        <f t="shared" si="143"/>
        <v/>
      </c>
      <c r="AV9" t="str">
        <f t="shared" si="143"/>
        <v/>
      </c>
      <c r="AW9" t="str">
        <f t="shared" si="143"/>
        <v/>
      </c>
      <c r="AX9" t="str">
        <f t="shared" si="143"/>
        <v/>
      </c>
      <c r="AY9" t="str">
        <f t="shared" si="143"/>
        <v/>
      </c>
      <c r="AZ9" t="str">
        <f t="shared" si="143"/>
        <v/>
      </c>
      <c r="BA9" t="str">
        <f t="shared" si="143"/>
        <v/>
      </c>
      <c r="BB9" t="str">
        <f t="shared" si="143"/>
        <v/>
      </c>
      <c r="BC9" t="str">
        <f t="shared" si="143"/>
        <v/>
      </c>
      <c r="BD9" t="str">
        <f t="shared" si="143"/>
        <v/>
      </c>
      <c r="BE9" t="str">
        <f t="shared" si="143"/>
        <v/>
      </c>
      <c r="BF9" t="str">
        <f t="shared" si="143"/>
        <v/>
      </c>
      <c r="BG9" t="str">
        <f t="shared" si="143"/>
        <v/>
      </c>
      <c r="BH9" t="str">
        <f t="shared" si="143"/>
        <v/>
      </c>
      <c r="BI9" t="str">
        <f t="shared" si="143"/>
        <v/>
      </c>
      <c r="BJ9" t="str">
        <f t="shared" si="143"/>
        <v/>
      </c>
      <c r="BK9" t="str">
        <f t="shared" si="143"/>
        <v/>
      </c>
      <c r="BL9" t="str">
        <f t="shared" si="143"/>
        <v/>
      </c>
      <c r="BM9" t="str">
        <f t="shared" si="143"/>
        <v/>
      </c>
      <c r="BN9" t="str">
        <f t="shared" si="143"/>
        <v/>
      </c>
      <c r="BO9" t="str">
        <f t="shared" si="143"/>
        <v/>
      </c>
      <c r="BP9" t="str">
        <f t="shared" si="143"/>
        <v/>
      </c>
      <c r="BQ9" t="str">
        <f t="shared" si="143"/>
        <v/>
      </c>
      <c r="BR9" t="str">
        <f t="shared" si="143"/>
        <v/>
      </c>
      <c r="BS9" t="str">
        <f t="shared" si="143"/>
        <v/>
      </c>
      <c r="BT9" t="str">
        <f t="shared" si="143"/>
        <v/>
      </c>
      <c r="BU9" t="str">
        <f t="shared" si="143"/>
        <v/>
      </c>
      <c r="BV9" t="str">
        <f t="shared" si="143"/>
        <v/>
      </c>
      <c r="BW9" t="str">
        <f t="shared" si="143"/>
        <v/>
      </c>
      <c r="BX9" t="str">
        <f t="shared" ref="BX9:CT15" si="144">IF(BX$7&lt;=$E9,IF(BX$7&gt;=$D9,IF(((BX$7-$D9+1)/($E9-$D9+1))&lt;=$H9,$E$5,IF(BX$7&lt;$I$1,$H$5,"")),""),"")</f>
        <v/>
      </c>
      <c r="BY9" t="str">
        <f t="shared" si="144"/>
        <v/>
      </c>
      <c r="BZ9" t="str">
        <f t="shared" si="144"/>
        <v/>
      </c>
      <c r="CA9" t="str">
        <f t="shared" si="144"/>
        <v/>
      </c>
      <c r="CB9" t="str">
        <f t="shared" si="144"/>
        <v/>
      </c>
      <c r="CC9" t="str">
        <f t="shared" si="144"/>
        <v/>
      </c>
      <c r="CD9" t="str">
        <f t="shared" si="144"/>
        <v/>
      </c>
      <c r="CE9" t="str">
        <f t="shared" si="144"/>
        <v/>
      </c>
      <c r="CF9" t="str">
        <f t="shared" si="144"/>
        <v/>
      </c>
      <c r="CG9" t="str">
        <f t="shared" si="144"/>
        <v/>
      </c>
      <c r="CH9" t="str">
        <f t="shared" si="144"/>
        <v/>
      </c>
      <c r="CI9" t="str">
        <f t="shared" si="144"/>
        <v/>
      </c>
      <c r="CJ9" t="str">
        <f t="shared" si="144"/>
        <v/>
      </c>
      <c r="CK9" t="str">
        <f t="shared" si="144"/>
        <v/>
      </c>
      <c r="CL9" t="str">
        <f t="shared" si="144"/>
        <v/>
      </c>
      <c r="CM9" t="str">
        <f t="shared" si="144"/>
        <v/>
      </c>
      <c r="CN9" t="str">
        <f t="shared" si="144"/>
        <v/>
      </c>
      <c r="CO9" t="str">
        <f t="shared" si="144"/>
        <v/>
      </c>
      <c r="CP9" t="str">
        <f t="shared" si="144"/>
        <v/>
      </c>
      <c r="CQ9" t="str">
        <f t="shared" si="144"/>
        <v/>
      </c>
      <c r="CR9" t="str">
        <f t="shared" si="144"/>
        <v/>
      </c>
      <c r="CS9" t="str">
        <f t="shared" si="144"/>
        <v/>
      </c>
      <c r="CT9" t="str">
        <f t="shared" si="144"/>
        <v/>
      </c>
      <c r="CU9" t="str">
        <f t="shared" ref="CU9:DJ42" si="145">IF(AND(CU$7&lt;=$E9,CU$7+6&gt;=$D9),IF((((IF(CU$7&gt;$D9,CU$7-$D9+1,1))+(IF(AND($I$1&gt;CU$7,$I$1&lt;=CU$7+6),IF(CU$7&gt;$I$1,$I$1-CU$7,0),0)))/($E9-$D9+1))&lt;=$H9,$E$5,IF(CU$7&lt;$I$1,$H$5,"")),"")</f>
        <v/>
      </c>
      <c r="CV9" t="str">
        <f t="shared" si="145"/>
        <v/>
      </c>
      <c r="CW9" t="str">
        <f t="shared" si="145"/>
        <v/>
      </c>
      <c r="CX9" t="str">
        <f t="shared" si="145"/>
        <v/>
      </c>
      <c r="CY9" t="str">
        <f t="shared" si="145"/>
        <v/>
      </c>
      <c r="CZ9" t="str">
        <f t="shared" si="145"/>
        <v/>
      </c>
      <c r="DA9" t="str">
        <f t="shared" si="145"/>
        <v/>
      </c>
      <c r="DB9" t="str">
        <f t="shared" si="145"/>
        <v/>
      </c>
      <c r="DC9" t="str">
        <f t="shared" si="145"/>
        <v/>
      </c>
      <c r="DD9" t="str">
        <f t="shared" si="145"/>
        <v/>
      </c>
      <c r="DE9" t="str">
        <f t="shared" si="145"/>
        <v/>
      </c>
      <c r="DF9" t="str">
        <f t="shared" si="145"/>
        <v/>
      </c>
      <c r="DG9" t="str">
        <f t="shared" si="145"/>
        <v/>
      </c>
      <c r="DH9" t="str">
        <f t="shared" si="145"/>
        <v/>
      </c>
      <c r="DI9" t="str">
        <f t="shared" si="145"/>
        <v/>
      </c>
      <c r="DJ9" t="str">
        <f t="shared" si="145"/>
        <v/>
      </c>
      <c r="DK9" t="str">
        <f t="shared" ref="DK9:DU9" si="146">IF(AND(DK$7&lt;=$E9,DK$7+6&gt;=$D9),IF((((IF(DK$7&gt;$D9,DK$7-$D9+1,1))+(IF(AND($I$1&gt;DK$7,$I$1&lt;=DK$7+6),IF(DK$7&gt;$I$1,$I$1-DK$7,0),0)))/($E9-$D9+1))&lt;=$H9,$E$5,IF(DK$7&lt;$I$1,$H$5,"")),"")</f>
        <v/>
      </c>
      <c r="DL9" t="str">
        <f t="shared" si="146"/>
        <v/>
      </c>
      <c r="DM9" t="str">
        <f t="shared" si="146"/>
        <v/>
      </c>
      <c r="DN9" t="str">
        <f t="shared" si="146"/>
        <v/>
      </c>
      <c r="DO9" t="str">
        <f t="shared" si="146"/>
        <v/>
      </c>
      <c r="DP9" t="str">
        <f t="shared" si="146"/>
        <v/>
      </c>
      <c r="DQ9" t="str">
        <f t="shared" si="146"/>
        <v/>
      </c>
      <c r="DR9" t="str">
        <f t="shared" si="146"/>
        <v/>
      </c>
      <c r="DS9" t="str">
        <f t="shared" si="146"/>
        <v/>
      </c>
      <c r="DT9" t="str">
        <f t="shared" si="146"/>
        <v/>
      </c>
      <c r="DU9" t="str">
        <f t="shared" si="146"/>
        <v/>
      </c>
    </row>
    <row r="10" spans="1:125">
      <c r="A10" s="13">
        <v>2</v>
      </c>
      <c r="B10" s="15" t="s">
        <v>46</v>
      </c>
      <c r="C10" s="15"/>
      <c r="D10" s="15"/>
      <c r="E10" s="15"/>
      <c r="F10" s="15"/>
      <c r="G10" s="15"/>
      <c r="H10" s="29">
        <v>0</v>
      </c>
      <c r="I10" s="15" t="s">
        <v>155</v>
      </c>
      <c r="J10" s="15" t="s">
        <v>173</v>
      </c>
      <c r="K10" s="14"/>
      <c r="L10" s="64"/>
      <c r="M10" t="str">
        <f t="shared" si="141"/>
        <v/>
      </c>
      <c r="N10" t="str">
        <f t="shared" si="141"/>
        <v/>
      </c>
      <c r="O10" t="str">
        <f t="shared" si="142"/>
        <v/>
      </c>
      <c r="P10" t="str">
        <f t="shared" ref="P10:BW14" si="147">IF(P$7&lt;=$E10,IF(P$7&gt;=$D10,IF(((P$7-$D10+1)/($E10-$D10+1))&lt;=$H10,$E$5,IF(P$7&lt;$I$1,$H$5,"")),""),"")</f>
        <v/>
      </c>
      <c r="Q10" t="str">
        <f t="shared" si="147"/>
        <v/>
      </c>
      <c r="R10" t="str">
        <f t="shared" si="147"/>
        <v/>
      </c>
      <c r="S10" t="str">
        <f t="shared" si="147"/>
        <v/>
      </c>
      <c r="T10" t="str">
        <f t="shared" si="147"/>
        <v/>
      </c>
      <c r="U10" t="str">
        <f t="shared" si="147"/>
        <v/>
      </c>
      <c r="V10" t="str">
        <f t="shared" si="147"/>
        <v/>
      </c>
      <c r="W10" t="str">
        <f t="shared" si="147"/>
        <v/>
      </c>
      <c r="X10" t="str">
        <f t="shared" si="147"/>
        <v/>
      </c>
      <c r="Y10" t="str">
        <f t="shared" si="147"/>
        <v/>
      </c>
      <c r="Z10" t="str">
        <f t="shared" si="147"/>
        <v/>
      </c>
      <c r="AA10" t="str">
        <f t="shared" si="147"/>
        <v/>
      </c>
      <c r="AB10" t="str">
        <f t="shared" si="147"/>
        <v/>
      </c>
      <c r="AC10" t="str">
        <f t="shared" si="147"/>
        <v/>
      </c>
      <c r="AD10" t="str">
        <f t="shared" si="147"/>
        <v/>
      </c>
      <c r="AE10" t="str">
        <f t="shared" si="147"/>
        <v/>
      </c>
      <c r="AF10" t="str">
        <f t="shared" si="147"/>
        <v/>
      </c>
      <c r="AG10" t="str">
        <f t="shared" si="147"/>
        <v/>
      </c>
      <c r="AH10" t="str">
        <f t="shared" si="147"/>
        <v/>
      </c>
      <c r="AI10" t="str">
        <f t="shared" si="147"/>
        <v/>
      </c>
      <c r="AJ10" t="str">
        <f t="shared" si="147"/>
        <v/>
      </c>
      <c r="AK10" t="str">
        <f t="shared" si="147"/>
        <v/>
      </c>
      <c r="AL10" t="str">
        <f t="shared" si="147"/>
        <v/>
      </c>
      <c r="AM10" t="str">
        <f t="shared" si="147"/>
        <v/>
      </c>
      <c r="AN10" t="str">
        <f t="shared" si="147"/>
        <v/>
      </c>
      <c r="AO10" t="str">
        <f t="shared" si="147"/>
        <v/>
      </c>
      <c r="AP10" t="str">
        <f t="shared" si="147"/>
        <v/>
      </c>
      <c r="AQ10" t="str">
        <f t="shared" si="147"/>
        <v/>
      </c>
      <c r="AR10" t="str">
        <f t="shared" si="147"/>
        <v/>
      </c>
      <c r="AS10" t="str">
        <f t="shared" si="147"/>
        <v/>
      </c>
      <c r="AT10" t="str">
        <f t="shared" si="147"/>
        <v/>
      </c>
      <c r="AU10" t="str">
        <f t="shared" si="147"/>
        <v/>
      </c>
      <c r="AV10" t="str">
        <f t="shared" si="147"/>
        <v/>
      </c>
      <c r="AW10" t="str">
        <f t="shared" si="147"/>
        <v/>
      </c>
      <c r="AX10" t="str">
        <f t="shared" si="147"/>
        <v/>
      </c>
      <c r="AY10" t="str">
        <f t="shared" si="147"/>
        <v/>
      </c>
      <c r="AZ10" t="str">
        <f t="shared" si="147"/>
        <v/>
      </c>
      <c r="BA10" t="str">
        <f t="shared" si="147"/>
        <v/>
      </c>
      <c r="BB10" t="str">
        <f t="shared" si="147"/>
        <v/>
      </c>
      <c r="BC10" t="str">
        <f t="shared" si="147"/>
        <v/>
      </c>
      <c r="BD10" t="str">
        <f t="shared" si="147"/>
        <v/>
      </c>
      <c r="BE10" t="str">
        <f t="shared" si="147"/>
        <v/>
      </c>
      <c r="BF10" t="str">
        <f t="shared" si="147"/>
        <v/>
      </c>
      <c r="BG10" t="str">
        <f t="shared" si="147"/>
        <v/>
      </c>
      <c r="BH10" t="str">
        <f t="shared" si="147"/>
        <v/>
      </c>
      <c r="BI10" t="str">
        <f t="shared" si="147"/>
        <v/>
      </c>
      <c r="BJ10" t="str">
        <f t="shared" si="147"/>
        <v/>
      </c>
      <c r="BK10" t="str">
        <f t="shared" si="147"/>
        <v/>
      </c>
      <c r="BL10" t="str">
        <f t="shared" si="147"/>
        <v/>
      </c>
      <c r="BM10" t="str">
        <f t="shared" si="147"/>
        <v/>
      </c>
      <c r="BN10" t="str">
        <f t="shared" si="147"/>
        <v/>
      </c>
      <c r="BO10" t="str">
        <f t="shared" si="147"/>
        <v/>
      </c>
      <c r="BP10" t="str">
        <f t="shared" si="147"/>
        <v/>
      </c>
      <c r="BQ10" t="str">
        <f t="shared" si="147"/>
        <v/>
      </c>
      <c r="BR10" t="str">
        <f t="shared" si="147"/>
        <v/>
      </c>
      <c r="BS10" t="str">
        <f t="shared" si="147"/>
        <v/>
      </c>
      <c r="BT10" t="str">
        <f t="shared" si="147"/>
        <v/>
      </c>
      <c r="BU10" t="str">
        <f t="shared" si="147"/>
        <v/>
      </c>
      <c r="BV10" t="str">
        <f t="shared" si="147"/>
        <v/>
      </c>
      <c r="BW10" t="str">
        <f t="shared" si="147"/>
        <v/>
      </c>
      <c r="BX10" t="str">
        <f t="shared" si="144"/>
        <v/>
      </c>
      <c r="BY10" t="str">
        <f t="shared" si="144"/>
        <v/>
      </c>
      <c r="BZ10" t="str">
        <f t="shared" si="144"/>
        <v/>
      </c>
      <c r="CA10" t="str">
        <f t="shared" si="144"/>
        <v/>
      </c>
      <c r="CB10" t="str">
        <f t="shared" si="144"/>
        <v/>
      </c>
      <c r="CC10" t="str">
        <f t="shared" si="144"/>
        <v/>
      </c>
      <c r="CD10" t="str">
        <f t="shared" si="144"/>
        <v/>
      </c>
      <c r="CE10" t="str">
        <f t="shared" si="144"/>
        <v/>
      </c>
      <c r="CF10" t="str">
        <f t="shared" si="144"/>
        <v/>
      </c>
      <c r="CG10" t="str">
        <f t="shared" si="144"/>
        <v/>
      </c>
      <c r="CH10" t="str">
        <f t="shared" si="144"/>
        <v/>
      </c>
      <c r="CI10" t="str">
        <f t="shared" si="144"/>
        <v/>
      </c>
      <c r="CJ10" t="str">
        <f t="shared" si="144"/>
        <v/>
      </c>
      <c r="CK10" t="str">
        <f t="shared" si="144"/>
        <v/>
      </c>
      <c r="CL10" t="str">
        <f t="shared" si="144"/>
        <v/>
      </c>
      <c r="CM10" t="str">
        <f t="shared" si="144"/>
        <v/>
      </c>
      <c r="CN10" t="str">
        <f t="shared" si="144"/>
        <v/>
      </c>
      <c r="CO10" t="str">
        <f t="shared" si="144"/>
        <v/>
      </c>
      <c r="CP10" t="str">
        <f t="shared" si="144"/>
        <v/>
      </c>
      <c r="CQ10" t="str">
        <f t="shared" si="144"/>
        <v/>
      </c>
      <c r="CR10" t="str">
        <f t="shared" si="144"/>
        <v/>
      </c>
      <c r="CS10" t="str">
        <f t="shared" si="144"/>
        <v/>
      </c>
      <c r="CT10" t="str">
        <f t="shared" si="144"/>
        <v/>
      </c>
      <c r="CU10" t="str">
        <f t="shared" si="145"/>
        <v/>
      </c>
      <c r="CV10" t="str">
        <f t="shared" si="145"/>
        <v/>
      </c>
      <c r="CW10" t="str">
        <f t="shared" si="145"/>
        <v/>
      </c>
      <c r="CX10" t="str">
        <f t="shared" si="145"/>
        <v/>
      </c>
      <c r="CY10" t="str">
        <f t="shared" si="145"/>
        <v/>
      </c>
      <c r="CZ10" t="str">
        <f t="shared" si="145"/>
        <v/>
      </c>
      <c r="DA10" t="str">
        <f t="shared" si="145"/>
        <v/>
      </c>
      <c r="DB10" t="str">
        <f t="shared" si="145"/>
        <v/>
      </c>
      <c r="DC10" t="str">
        <f t="shared" si="145"/>
        <v/>
      </c>
      <c r="DD10" t="str">
        <f t="shared" si="145"/>
        <v/>
      </c>
      <c r="DE10" t="str">
        <f t="shared" si="145"/>
        <v/>
      </c>
      <c r="DF10" t="str">
        <f t="shared" si="145"/>
        <v/>
      </c>
      <c r="DG10" t="str">
        <f t="shared" si="145"/>
        <v/>
      </c>
      <c r="DH10" t="str">
        <f t="shared" si="145"/>
        <v/>
      </c>
      <c r="DI10" t="str">
        <f t="shared" si="145"/>
        <v/>
      </c>
      <c r="DJ10" t="str">
        <f t="shared" si="145"/>
        <v/>
      </c>
      <c r="DK10" t="str">
        <f t="shared" ref="CZ10:DU23" si="148">IF(AND(DK$7&lt;=$E10,DK$7+6&gt;=$D10),IF((((IF(DK$7&gt;$D10,DK$7-$D10+1,1))+(IF(AND($I$1&gt;DK$7,$I$1&lt;=DK$7+6),IF(DK$7&gt;$I$1,$I$1-DK$7,0),0)))/($E10-$D10+1))&lt;=$H10,$E$5,IF(DK$7&lt;$I$1,$H$5,"")),"")</f>
        <v/>
      </c>
      <c r="DL10" t="str">
        <f t="shared" si="148"/>
        <v/>
      </c>
      <c r="DM10" t="str">
        <f t="shared" si="148"/>
        <v/>
      </c>
      <c r="DN10" t="str">
        <f t="shared" si="148"/>
        <v/>
      </c>
      <c r="DO10" t="str">
        <f t="shared" si="148"/>
        <v/>
      </c>
      <c r="DP10" t="str">
        <f t="shared" si="148"/>
        <v/>
      </c>
      <c r="DQ10" t="str">
        <f t="shared" si="148"/>
        <v/>
      </c>
      <c r="DR10" t="str">
        <f t="shared" si="148"/>
        <v/>
      </c>
      <c r="DS10" t="str">
        <f t="shared" si="148"/>
        <v/>
      </c>
      <c r="DT10" t="str">
        <f t="shared" si="148"/>
        <v/>
      </c>
      <c r="DU10" t="str">
        <f t="shared" si="148"/>
        <v/>
      </c>
    </row>
    <row r="11" spans="1:125">
      <c r="A11" s="13">
        <v>3</v>
      </c>
      <c r="B11" s="15" t="s">
        <v>47</v>
      </c>
      <c r="C11" s="15"/>
      <c r="D11" s="15"/>
      <c r="E11" s="15"/>
      <c r="F11" s="15"/>
      <c r="G11" s="15"/>
      <c r="H11" s="29">
        <v>0</v>
      </c>
      <c r="I11" s="15" t="s">
        <v>155</v>
      </c>
      <c r="J11" s="15" t="s">
        <v>173</v>
      </c>
      <c r="K11" s="14"/>
      <c r="L11" s="64"/>
      <c r="M11" t="str">
        <f t="shared" si="141"/>
        <v/>
      </c>
      <c r="N11" t="str">
        <f t="shared" si="141"/>
        <v/>
      </c>
      <c r="O11" t="str">
        <f t="shared" si="142"/>
        <v/>
      </c>
      <c r="P11" t="str">
        <f t="shared" si="147"/>
        <v/>
      </c>
      <c r="Q11" t="str">
        <f t="shared" si="147"/>
        <v/>
      </c>
      <c r="R11" t="str">
        <f t="shared" si="147"/>
        <v/>
      </c>
      <c r="S11" t="str">
        <f t="shared" si="147"/>
        <v/>
      </c>
      <c r="T11" t="str">
        <f t="shared" si="147"/>
        <v/>
      </c>
      <c r="U11" t="str">
        <f t="shared" si="147"/>
        <v/>
      </c>
      <c r="V11" t="str">
        <f t="shared" si="147"/>
        <v/>
      </c>
      <c r="W11" t="str">
        <f t="shared" si="147"/>
        <v/>
      </c>
      <c r="X11" t="str">
        <f t="shared" si="147"/>
        <v/>
      </c>
      <c r="Y11" t="str">
        <f t="shared" si="147"/>
        <v/>
      </c>
      <c r="Z11" t="str">
        <f t="shared" si="147"/>
        <v/>
      </c>
      <c r="AA11" t="str">
        <f t="shared" si="147"/>
        <v/>
      </c>
      <c r="AB11" t="str">
        <f t="shared" si="147"/>
        <v/>
      </c>
      <c r="AC11" t="str">
        <f t="shared" si="147"/>
        <v/>
      </c>
      <c r="AD11" t="str">
        <f t="shared" si="147"/>
        <v/>
      </c>
      <c r="AE11" t="str">
        <f t="shared" si="147"/>
        <v/>
      </c>
      <c r="AF11" t="str">
        <f t="shared" si="147"/>
        <v/>
      </c>
      <c r="AG11" t="str">
        <f t="shared" si="147"/>
        <v/>
      </c>
      <c r="AH11" t="str">
        <f t="shared" si="147"/>
        <v/>
      </c>
      <c r="AI11" t="str">
        <f t="shared" si="147"/>
        <v/>
      </c>
      <c r="AJ11" t="str">
        <f t="shared" si="147"/>
        <v/>
      </c>
      <c r="AK11" t="str">
        <f t="shared" si="147"/>
        <v/>
      </c>
      <c r="AL11" t="str">
        <f t="shared" si="147"/>
        <v/>
      </c>
      <c r="AM11" t="str">
        <f t="shared" si="147"/>
        <v/>
      </c>
      <c r="AN11" t="str">
        <f t="shared" si="147"/>
        <v/>
      </c>
      <c r="AO11" t="str">
        <f t="shared" si="147"/>
        <v/>
      </c>
      <c r="AP11" t="str">
        <f t="shared" si="147"/>
        <v/>
      </c>
      <c r="AQ11" t="str">
        <f t="shared" si="147"/>
        <v/>
      </c>
      <c r="AR11" t="str">
        <f t="shared" si="147"/>
        <v/>
      </c>
      <c r="AS11" t="str">
        <f t="shared" si="147"/>
        <v/>
      </c>
      <c r="AT11" t="str">
        <f t="shared" si="147"/>
        <v/>
      </c>
      <c r="AU11" t="str">
        <f t="shared" si="147"/>
        <v/>
      </c>
      <c r="AV11" t="str">
        <f t="shared" si="147"/>
        <v/>
      </c>
      <c r="AW11" t="str">
        <f t="shared" si="147"/>
        <v/>
      </c>
      <c r="AX11" t="str">
        <f t="shared" si="147"/>
        <v/>
      </c>
      <c r="AY11" t="str">
        <f t="shared" si="147"/>
        <v/>
      </c>
      <c r="AZ11" t="str">
        <f t="shared" si="147"/>
        <v/>
      </c>
      <c r="BA11" t="str">
        <f t="shared" si="147"/>
        <v/>
      </c>
      <c r="BB11" t="str">
        <f t="shared" si="147"/>
        <v/>
      </c>
      <c r="BC11" t="str">
        <f t="shared" si="147"/>
        <v/>
      </c>
      <c r="BD11" t="str">
        <f t="shared" si="147"/>
        <v/>
      </c>
      <c r="BE11" t="str">
        <f t="shared" si="147"/>
        <v/>
      </c>
      <c r="BF11" t="str">
        <f t="shared" si="147"/>
        <v/>
      </c>
      <c r="BG11" t="str">
        <f t="shared" si="147"/>
        <v/>
      </c>
      <c r="BH11" t="str">
        <f t="shared" si="147"/>
        <v/>
      </c>
      <c r="BI11" t="str">
        <f t="shared" si="147"/>
        <v/>
      </c>
      <c r="BJ11" t="str">
        <f t="shared" si="147"/>
        <v/>
      </c>
      <c r="BK11" t="str">
        <f t="shared" si="147"/>
        <v/>
      </c>
      <c r="BL11" t="str">
        <f t="shared" si="147"/>
        <v/>
      </c>
      <c r="BM11" t="str">
        <f t="shared" si="147"/>
        <v/>
      </c>
      <c r="BN11" t="str">
        <f t="shared" si="147"/>
        <v/>
      </c>
      <c r="BO11" t="str">
        <f t="shared" si="147"/>
        <v/>
      </c>
      <c r="BP11" t="str">
        <f t="shared" si="147"/>
        <v/>
      </c>
      <c r="BQ11" t="str">
        <f t="shared" si="147"/>
        <v/>
      </c>
      <c r="BR11" t="str">
        <f t="shared" si="147"/>
        <v/>
      </c>
      <c r="BS11" t="str">
        <f t="shared" si="147"/>
        <v/>
      </c>
      <c r="BT11" t="str">
        <f t="shared" si="147"/>
        <v/>
      </c>
      <c r="BU11" t="str">
        <f t="shared" si="147"/>
        <v/>
      </c>
      <c r="BV11" t="str">
        <f t="shared" si="147"/>
        <v/>
      </c>
      <c r="BW11" t="str">
        <f t="shared" si="147"/>
        <v/>
      </c>
      <c r="BX11" t="str">
        <f t="shared" si="144"/>
        <v/>
      </c>
      <c r="BY11" t="str">
        <f t="shared" si="144"/>
        <v/>
      </c>
      <c r="BZ11" t="str">
        <f t="shared" si="144"/>
        <v/>
      </c>
      <c r="CA11" t="str">
        <f t="shared" si="144"/>
        <v/>
      </c>
      <c r="CB11" t="str">
        <f t="shared" si="144"/>
        <v/>
      </c>
      <c r="CC11" t="str">
        <f t="shared" si="144"/>
        <v/>
      </c>
      <c r="CD11" t="str">
        <f t="shared" si="144"/>
        <v/>
      </c>
      <c r="CE11" t="str">
        <f t="shared" si="144"/>
        <v/>
      </c>
      <c r="CF11" t="str">
        <f t="shared" si="144"/>
        <v/>
      </c>
      <c r="CG11" t="str">
        <f t="shared" si="144"/>
        <v/>
      </c>
      <c r="CH11" t="str">
        <f t="shared" si="144"/>
        <v/>
      </c>
      <c r="CI11" t="str">
        <f t="shared" si="144"/>
        <v/>
      </c>
      <c r="CJ11" t="str">
        <f t="shared" si="144"/>
        <v/>
      </c>
      <c r="CK11" t="str">
        <f t="shared" si="144"/>
        <v/>
      </c>
      <c r="CL11" t="str">
        <f t="shared" si="144"/>
        <v/>
      </c>
      <c r="CM11" t="str">
        <f t="shared" si="144"/>
        <v/>
      </c>
      <c r="CN11" t="str">
        <f t="shared" si="144"/>
        <v/>
      </c>
      <c r="CO11" t="str">
        <f t="shared" si="144"/>
        <v/>
      </c>
      <c r="CP11" t="str">
        <f t="shared" si="144"/>
        <v/>
      </c>
      <c r="CQ11" t="str">
        <f t="shared" si="144"/>
        <v/>
      </c>
      <c r="CR11" t="str">
        <f t="shared" si="144"/>
        <v/>
      </c>
      <c r="CS11" t="str">
        <f t="shared" si="144"/>
        <v/>
      </c>
      <c r="CT11" t="str">
        <f t="shared" si="144"/>
        <v/>
      </c>
      <c r="CU11" t="str">
        <f t="shared" si="145"/>
        <v/>
      </c>
      <c r="CV11" t="str">
        <f t="shared" si="145"/>
        <v/>
      </c>
      <c r="CW11" t="str">
        <f t="shared" si="145"/>
        <v/>
      </c>
      <c r="CX11" t="str">
        <f t="shared" si="145"/>
        <v/>
      </c>
      <c r="CY11" t="str">
        <f t="shared" si="145"/>
        <v/>
      </c>
      <c r="CZ11" t="str">
        <f t="shared" si="148"/>
        <v/>
      </c>
      <c r="DA11" t="str">
        <f t="shared" si="148"/>
        <v/>
      </c>
      <c r="DB11" t="str">
        <f t="shared" si="148"/>
        <v/>
      </c>
      <c r="DC11" t="str">
        <f t="shared" si="148"/>
        <v/>
      </c>
      <c r="DD11" t="str">
        <f t="shared" si="148"/>
        <v/>
      </c>
      <c r="DE11" t="str">
        <f t="shared" si="148"/>
        <v/>
      </c>
      <c r="DF11" t="str">
        <f t="shared" si="148"/>
        <v/>
      </c>
      <c r="DG11" t="str">
        <f t="shared" si="148"/>
        <v/>
      </c>
      <c r="DH11" t="str">
        <f t="shared" si="148"/>
        <v/>
      </c>
      <c r="DI11" t="str">
        <f t="shared" si="148"/>
        <v/>
      </c>
      <c r="DJ11" t="str">
        <f t="shared" si="148"/>
        <v/>
      </c>
      <c r="DK11" t="str">
        <f t="shared" si="148"/>
        <v/>
      </c>
      <c r="DL11" t="str">
        <f t="shared" si="148"/>
        <v/>
      </c>
      <c r="DM11" t="str">
        <f t="shared" si="148"/>
        <v/>
      </c>
      <c r="DN11" t="str">
        <f t="shared" si="148"/>
        <v/>
      </c>
      <c r="DO11" t="str">
        <f t="shared" si="148"/>
        <v/>
      </c>
      <c r="DP11" t="str">
        <f t="shared" si="148"/>
        <v/>
      </c>
      <c r="DQ11" t="str">
        <f t="shared" si="148"/>
        <v/>
      </c>
      <c r="DR11" t="str">
        <f t="shared" si="148"/>
        <v/>
      </c>
      <c r="DS11" t="str">
        <f t="shared" si="148"/>
        <v/>
      </c>
      <c r="DT11" t="str">
        <f t="shared" si="148"/>
        <v/>
      </c>
      <c r="DU11" t="str">
        <f t="shared" si="148"/>
        <v/>
      </c>
    </row>
    <row r="12" spans="1:125" s="83" customFormat="1">
      <c r="A12" s="78">
        <v>4</v>
      </c>
      <c r="B12" s="90" t="s">
        <v>162</v>
      </c>
      <c r="C12" s="79"/>
      <c r="D12" s="79">
        <v>45698</v>
      </c>
      <c r="E12" s="79">
        <f>MAX(E13:E24)</f>
        <v>45739</v>
      </c>
      <c r="F12" s="79"/>
      <c r="G12" s="79"/>
      <c r="H12" s="80">
        <v>0</v>
      </c>
      <c r="I12" s="79" t="s">
        <v>180</v>
      </c>
      <c r="J12" s="15" t="s">
        <v>173</v>
      </c>
      <c r="K12" s="81"/>
      <c r="L12" s="82"/>
      <c r="M12" s="83" t="str">
        <f t="shared" si="141"/>
        <v/>
      </c>
      <c r="N12" s="83" t="str">
        <f t="shared" si="141"/>
        <v/>
      </c>
      <c r="O12" s="83" t="str">
        <f t="shared" ca="1" si="141"/>
        <v>◇</v>
      </c>
      <c r="P12" s="83" t="str">
        <f t="shared" ca="1" si="141"/>
        <v>◇</v>
      </c>
      <c r="Q12" s="83" t="str">
        <f t="shared" ca="1" si="141"/>
        <v>◇</v>
      </c>
      <c r="R12" s="83" t="str">
        <f t="shared" ca="1" si="141"/>
        <v>◇</v>
      </c>
      <c r="S12" s="83" t="str">
        <f t="shared" ca="1" si="141"/>
        <v>◇</v>
      </c>
      <c r="T12" s="83" t="str">
        <f t="shared" ca="1" si="141"/>
        <v>◇</v>
      </c>
      <c r="U12" s="83" t="str">
        <f t="shared" ca="1" si="141"/>
        <v>◇</v>
      </c>
      <c r="V12" s="83" t="str">
        <f t="shared" ca="1" si="141"/>
        <v/>
      </c>
      <c r="W12" s="83" t="str">
        <f t="shared" ca="1" si="141"/>
        <v/>
      </c>
      <c r="X12" s="83" t="str">
        <f t="shared" ca="1" si="141"/>
        <v/>
      </c>
      <c r="Y12" s="83" t="str">
        <f t="shared" ca="1" si="141"/>
        <v/>
      </c>
      <c r="Z12" s="83" t="str">
        <f t="shared" ca="1" si="141"/>
        <v/>
      </c>
      <c r="AA12" s="83" t="str">
        <f t="shared" ca="1" si="141"/>
        <v/>
      </c>
      <c r="AB12" s="83" t="str">
        <f t="shared" ca="1" si="141"/>
        <v/>
      </c>
      <c r="AC12" s="83" t="str">
        <f t="shared" ca="1" si="147"/>
        <v/>
      </c>
      <c r="AD12" s="83" t="str">
        <f t="shared" ca="1" si="147"/>
        <v/>
      </c>
      <c r="AE12" s="83" t="str">
        <f t="shared" ca="1" si="147"/>
        <v/>
      </c>
      <c r="AF12" s="83" t="str">
        <f t="shared" ca="1" si="147"/>
        <v/>
      </c>
      <c r="AG12" s="83" t="str">
        <f t="shared" ca="1" si="147"/>
        <v/>
      </c>
      <c r="AH12" s="83" t="str">
        <f t="shared" ca="1" si="147"/>
        <v/>
      </c>
      <c r="AI12" s="83" t="str">
        <f t="shared" ca="1" si="147"/>
        <v/>
      </c>
      <c r="AJ12" s="83" t="str">
        <f t="shared" ca="1" si="147"/>
        <v/>
      </c>
      <c r="AK12" s="83" t="str">
        <f t="shared" ca="1" si="147"/>
        <v/>
      </c>
      <c r="AL12" s="83" t="str">
        <f t="shared" ca="1" si="147"/>
        <v/>
      </c>
      <c r="AM12" s="83" t="str">
        <f t="shared" ca="1" si="147"/>
        <v/>
      </c>
      <c r="AN12" s="83" t="str">
        <f t="shared" ca="1" si="147"/>
        <v/>
      </c>
      <c r="AO12" s="83" t="str">
        <f t="shared" ca="1" si="147"/>
        <v/>
      </c>
      <c r="AP12" s="83" t="str">
        <f t="shared" ca="1" si="147"/>
        <v/>
      </c>
      <c r="AQ12" s="83" t="str">
        <f t="shared" ca="1" si="147"/>
        <v/>
      </c>
      <c r="AR12" s="83" t="str">
        <f t="shared" ca="1" si="147"/>
        <v/>
      </c>
      <c r="AS12" s="83" t="str">
        <f t="shared" ca="1" si="147"/>
        <v/>
      </c>
      <c r="AT12" s="83" t="str">
        <f t="shared" ca="1" si="147"/>
        <v/>
      </c>
      <c r="AU12" s="83" t="str">
        <f t="shared" ca="1" si="147"/>
        <v/>
      </c>
      <c r="AV12" s="83" t="str">
        <f t="shared" ca="1" si="147"/>
        <v/>
      </c>
      <c r="AW12" s="83" t="str">
        <f t="shared" ca="1" si="147"/>
        <v/>
      </c>
      <c r="AX12" s="83" t="str">
        <f t="shared" ca="1" si="147"/>
        <v/>
      </c>
      <c r="AY12" s="83" t="str">
        <f t="shared" ca="1" si="147"/>
        <v/>
      </c>
      <c r="AZ12" s="83" t="str">
        <f t="shared" ca="1" si="147"/>
        <v/>
      </c>
      <c r="BA12" s="83" t="str">
        <f t="shared" ca="1" si="147"/>
        <v/>
      </c>
      <c r="BB12" s="83" t="str">
        <f t="shared" ca="1" si="147"/>
        <v/>
      </c>
      <c r="BC12" s="83" t="str">
        <f t="shared" ca="1" si="147"/>
        <v/>
      </c>
      <c r="BD12" s="83" t="str">
        <f t="shared" ca="1" si="147"/>
        <v/>
      </c>
      <c r="BE12" s="83" t="str">
        <f t="shared" si="147"/>
        <v/>
      </c>
      <c r="BF12" s="83" t="str">
        <f t="shared" si="147"/>
        <v/>
      </c>
      <c r="BG12" s="83" t="str">
        <f t="shared" si="147"/>
        <v/>
      </c>
      <c r="BH12" s="83" t="str">
        <f t="shared" si="147"/>
        <v/>
      </c>
      <c r="BI12" s="83" t="str">
        <f t="shared" si="147"/>
        <v/>
      </c>
      <c r="BJ12" s="83" t="str">
        <f t="shared" si="147"/>
        <v/>
      </c>
      <c r="BK12" s="83" t="str">
        <f t="shared" si="147"/>
        <v/>
      </c>
      <c r="BL12" s="83" t="str">
        <f t="shared" si="147"/>
        <v/>
      </c>
      <c r="BM12" s="83" t="str">
        <f t="shared" si="147"/>
        <v/>
      </c>
      <c r="BN12" s="83" t="str">
        <f t="shared" si="147"/>
        <v/>
      </c>
      <c r="BO12" s="83" t="str">
        <f t="shared" si="147"/>
        <v/>
      </c>
      <c r="BP12" s="83" t="str">
        <f t="shared" si="147"/>
        <v/>
      </c>
      <c r="BQ12" s="83" t="str">
        <f t="shared" si="147"/>
        <v/>
      </c>
      <c r="BR12" s="83" t="str">
        <f t="shared" si="147"/>
        <v/>
      </c>
      <c r="BS12" s="83" t="str">
        <f t="shared" si="147"/>
        <v/>
      </c>
      <c r="BT12" s="83" t="str">
        <f t="shared" si="147"/>
        <v/>
      </c>
      <c r="BU12" s="83" t="str">
        <f t="shared" si="147"/>
        <v/>
      </c>
      <c r="BV12" s="83" t="str">
        <f t="shared" si="147"/>
        <v/>
      </c>
      <c r="BW12" s="83" t="str">
        <f t="shared" si="147"/>
        <v/>
      </c>
      <c r="BX12" s="83" t="str">
        <f t="shared" ref="BX12:CN17" si="149">IF(BX$7&lt;=$E12,IF(BX$7&gt;=$D12,IF(((BX$7-$D12+1)/($E12-$D12+1))&lt;=$H12,$E$5,IF(BX$7&lt;$I$1,$H$5,"")),""),"")</f>
        <v/>
      </c>
      <c r="BY12" s="83" t="str">
        <f t="shared" si="149"/>
        <v/>
      </c>
      <c r="BZ12" s="83" t="str">
        <f t="shared" si="149"/>
        <v/>
      </c>
      <c r="CA12" s="83" t="str">
        <f t="shared" si="149"/>
        <v/>
      </c>
      <c r="CB12" s="83" t="str">
        <f t="shared" si="149"/>
        <v/>
      </c>
      <c r="CC12" s="83" t="str">
        <f t="shared" si="149"/>
        <v/>
      </c>
      <c r="CD12" s="83" t="str">
        <f t="shared" si="149"/>
        <v/>
      </c>
      <c r="CE12" s="83" t="str">
        <f t="shared" si="149"/>
        <v/>
      </c>
      <c r="CF12" s="83" t="str">
        <f t="shared" si="149"/>
        <v/>
      </c>
      <c r="CG12" s="83" t="str">
        <f t="shared" si="149"/>
        <v/>
      </c>
      <c r="CH12" s="83" t="str">
        <f t="shared" si="149"/>
        <v/>
      </c>
      <c r="CI12" s="83" t="str">
        <f t="shared" si="149"/>
        <v/>
      </c>
      <c r="CJ12" s="83" t="str">
        <f t="shared" si="149"/>
        <v/>
      </c>
      <c r="CK12" s="83" t="str">
        <f t="shared" si="149"/>
        <v/>
      </c>
      <c r="CL12" s="83" t="str">
        <f t="shared" si="149"/>
        <v/>
      </c>
      <c r="CM12" s="83" t="str">
        <f t="shared" si="149"/>
        <v/>
      </c>
      <c r="CN12" s="83" t="str">
        <f t="shared" si="149"/>
        <v/>
      </c>
      <c r="CO12" s="83" t="str">
        <f t="shared" si="144"/>
        <v/>
      </c>
      <c r="CP12" s="83" t="str">
        <f t="shared" si="144"/>
        <v/>
      </c>
      <c r="CQ12" s="83" t="str">
        <f t="shared" si="144"/>
        <v/>
      </c>
      <c r="CR12" s="83" t="str">
        <f t="shared" si="144"/>
        <v/>
      </c>
      <c r="CS12" s="83" t="str">
        <f t="shared" si="144"/>
        <v/>
      </c>
      <c r="CT12" s="83" t="str">
        <f t="shared" si="144"/>
        <v/>
      </c>
      <c r="CU12" s="83" t="str">
        <f t="shared" si="145"/>
        <v/>
      </c>
      <c r="CV12" s="83" t="str">
        <f t="shared" ca="1" si="145"/>
        <v>◇</v>
      </c>
      <c r="CW12" s="83" t="str">
        <f t="shared" ca="1" si="145"/>
        <v/>
      </c>
      <c r="CX12" s="83" t="str">
        <f t="shared" ca="1" si="145"/>
        <v/>
      </c>
      <c r="CY12" s="83" t="str">
        <f t="shared" ca="1" si="145"/>
        <v/>
      </c>
      <c r="CZ12" s="83" t="str">
        <f t="shared" ca="1" si="148"/>
        <v/>
      </c>
      <c r="DA12" s="83" t="str">
        <f t="shared" ca="1" si="148"/>
        <v/>
      </c>
      <c r="DB12" s="83" t="str">
        <f t="shared" si="148"/>
        <v/>
      </c>
      <c r="DC12" s="83" t="str">
        <f t="shared" si="148"/>
        <v/>
      </c>
      <c r="DD12" s="83" t="str">
        <f t="shared" si="148"/>
        <v/>
      </c>
      <c r="DE12" s="83" t="str">
        <f t="shared" si="148"/>
        <v/>
      </c>
      <c r="DF12" s="83" t="str">
        <f t="shared" si="148"/>
        <v/>
      </c>
      <c r="DG12" s="83" t="str">
        <f t="shared" si="148"/>
        <v/>
      </c>
      <c r="DH12" s="83" t="str">
        <f t="shared" si="148"/>
        <v/>
      </c>
      <c r="DI12" s="83" t="str">
        <f t="shared" si="148"/>
        <v/>
      </c>
      <c r="DJ12" s="83" t="str">
        <f t="shared" si="148"/>
        <v/>
      </c>
      <c r="DK12" s="83" t="str">
        <f t="shared" si="148"/>
        <v/>
      </c>
      <c r="DL12" s="83" t="str">
        <f t="shared" si="148"/>
        <v/>
      </c>
      <c r="DM12" s="83" t="str">
        <f t="shared" si="148"/>
        <v/>
      </c>
      <c r="DN12" s="83" t="str">
        <f t="shared" si="148"/>
        <v/>
      </c>
      <c r="DO12" s="83" t="str">
        <f t="shared" si="148"/>
        <v/>
      </c>
      <c r="DP12" s="83" t="str">
        <f t="shared" si="148"/>
        <v/>
      </c>
      <c r="DQ12" s="83" t="str">
        <f t="shared" si="148"/>
        <v/>
      </c>
      <c r="DR12" s="83" t="str">
        <f t="shared" si="148"/>
        <v/>
      </c>
      <c r="DS12" s="83" t="str">
        <f t="shared" si="148"/>
        <v/>
      </c>
      <c r="DT12" s="83" t="str">
        <f t="shared" si="148"/>
        <v/>
      </c>
      <c r="DU12" s="83" t="str">
        <f t="shared" si="148"/>
        <v/>
      </c>
    </row>
    <row r="13" spans="1:125" outlineLevel="1">
      <c r="A13" s="13">
        <v>5</v>
      </c>
      <c r="B13" s="76" t="s">
        <v>147</v>
      </c>
      <c r="C13" s="15"/>
      <c r="D13" s="15">
        <v>45698</v>
      </c>
      <c r="E13" s="15">
        <f>D13+35</f>
        <v>45733</v>
      </c>
      <c r="F13" s="15"/>
      <c r="G13" s="15"/>
      <c r="H13" s="29">
        <v>0</v>
      </c>
      <c r="I13" s="15" t="s">
        <v>180</v>
      </c>
      <c r="J13" s="15" t="s">
        <v>173</v>
      </c>
      <c r="K13" s="14"/>
      <c r="L13" s="64"/>
      <c r="M13" t="str">
        <f t="shared" si="141"/>
        <v/>
      </c>
      <c r="N13" t="str">
        <f t="shared" si="141"/>
        <v/>
      </c>
      <c r="O13" t="str">
        <f t="shared" ca="1" si="142"/>
        <v>◇</v>
      </c>
      <c r="P13" t="str">
        <f t="shared" ca="1" si="147"/>
        <v>◇</v>
      </c>
      <c r="Q13" t="str">
        <f t="shared" ca="1" si="147"/>
        <v>◇</v>
      </c>
      <c r="R13" t="str">
        <f t="shared" ca="1" si="147"/>
        <v>◇</v>
      </c>
      <c r="S13" t="str">
        <f t="shared" ca="1" si="147"/>
        <v>◇</v>
      </c>
      <c r="T13" t="str">
        <f t="shared" ca="1" si="147"/>
        <v>◇</v>
      </c>
      <c r="U13" t="str">
        <f t="shared" ca="1" si="147"/>
        <v>◇</v>
      </c>
      <c r="V13" t="str">
        <f t="shared" ca="1" si="147"/>
        <v/>
      </c>
      <c r="W13" t="str">
        <f t="shared" ca="1" si="147"/>
        <v/>
      </c>
      <c r="X13" t="str">
        <f t="shared" ca="1" si="147"/>
        <v/>
      </c>
      <c r="Y13" t="str">
        <f t="shared" ca="1" si="147"/>
        <v/>
      </c>
      <c r="Z13" t="str">
        <f t="shared" ca="1" si="147"/>
        <v/>
      </c>
      <c r="AA13" t="str">
        <f t="shared" ca="1" si="147"/>
        <v/>
      </c>
      <c r="AB13" t="str">
        <f t="shared" ca="1" si="147"/>
        <v/>
      </c>
      <c r="AC13" t="str">
        <f t="shared" ca="1" si="147"/>
        <v/>
      </c>
      <c r="AD13" t="str">
        <f t="shared" ca="1" si="147"/>
        <v/>
      </c>
      <c r="AE13" t="str">
        <f t="shared" ca="1" si="147"/>
        <v/>
      </c>
      <c r="AF13" t="str">
        <f t="shared" ca="1" si="147"/>
        <v/>
      </c>
      <c r="AG13" t="str">
        <f t="shared" ca="1" si="147"/>
        <v/>
      </c>
      <c r="AH13" t="str">
        <f t="shared" ca="1" si="147"/>
        <v/>
      </c>
      <c r="AI13" t="str">
        <f t="shared" ca="1" si="147"/>
        <v/>
      </c>
      <c r="AJ13" t="str">
        <f t="shared" ca="1" si="147"/>
        <v/>
      </c>
      <c r="AK13" t="str">
        <f t="shared" ca="1" si="147"/>
        <v/>
      </c>
      <c r="AL13" t="str">
        <f t="shared" ca="1" si="147"/>
        <v/>
      </c>
      <c r="AM13" t="str">
        <f t="shared" ca="1" si="147"/>
        <v/>
      </c>
      <c r="AN13" t="str">
        <f t="shared" ca="1" si="147"/>
        <v/>
      </c>
      <c r="AO13" t="str">
        <f t="shared" ca="1" si="147"/>
        <v/>
      </c>
      <c r="AP13" t="str">
        <f t="shared" ca="1" si="147"/>
        <v/>
      </c>
      <c r="AQ13" t="str">
        <f t="shared" ca="1" si="147"/>
        <v/>
      </c>
      <c r="AR13" t="str">
        <f t="shared" ca="1" si="147"/>
        <v/>
      </c>
      <c r="AS13" t="str">
        <f t="shared" ca="1" si="147"/>
        <v/>
      </c>
      <c r="AT13" t="str">
        <f t="shared" ca="1" si="147"/>
        <v/>
      </c>
      <c r="AU13" t="str">
        <f t="shared" ca="1" si="147"/>
        <v/>
      </c>
      <c r="AV13" t="str">
        <f t="shared" ca="1" si="147"/>
        <v/>
      </c>
      <c r="AW13" t="str">
        <f t="shared" ca="1" si="147"/>
        <v/>
      </c>
      <c r="AX13" t="str">
        <f t="shared" ca="1" si="147"/>
        <v/>
      </c>
      <c r="AY13" t="str">
        <f t="shared" si="147"/>
        <v/>
      </c>
      <c r="AZ13" t="str">
        <f t="shared" si="147"/>
        <v/>
      </c>
      <c r="BA13" t="str">
        <f t="shared" si="147"/>
        <v/>
      </c>
      <c r="BB13" t="str">
        <f t="shared" si="147"/>
        <v/>
      </c>
      <c r="BC13" t="str">
        <f t="shared" si="147"/>
        <v/>
      </c>
      <c r="BD13" t="str">
        <f t="shared" si="147"/>
        <v/>
      </c>
      <c r="BE13" t="str">
        <f t="shared" si="147"/>
        <v/>
      </c>
      <c r="BF13" t="str">
        <f t="shared" si="147"/>
        <v/>
      </c>
      <c r="BG13" t="str">
        <f t="shared" si="147"/>
        <v/>
      </c>
      <c r="BH13" t="str">
        <f t="shared" si="147"/>
        <v/>
      </c>
      <c r="BI13" t="str">
        <f t="shared" si="147"/>
        <v/>
      </c>
      <c r="BJ13" t="str">
        <f t="shared" si="147"/>
        <v/>
      </c>
      <c r="BK13" t="str">
        <f t="shared" si="147"/>
        <v/>
      </c>
      <c r="BL13" t="str">
        <f t="shared" si="147"/>
        <v/>
      </c>
      <c r="BM13" t="str">
        <f t="shared" si="147"/>
        <v/>
      </c>
      <c r="BN13" t="str">
        <f t="shared" si="147"/>
        <v/>
      </c>
      <c r="BO13" t="str">
        <f t="shared" si="147"/>
        <v/>
      </c>
      <c r="BP13" t="str">
        <f t="shared" si="147"/>
        <v/>
      </c>
      <c r="BQ13" t="str">
        <f t="shared" si="147"/>
        <v/>
      </c>
      <c r="BR13" t="str">
        <f t="shared" si="147"/>
        <v/>
      </c>
      <c r="BS13" t="str">
        <f t="shared" si="147"/>
        <v/>
      </c>
      <c r="BT13" t="str">
        <f t="shared" si="147"/>
        <v/>
      </c>
      <c r="BU13" t="str">
        <f t="shared" si="147"/>
        <v/>
      </c>
      <c r="BV13" t="str">
        <f t="shared" si="147"/>
        <v/>
      </c>
      <c r="BW13" t="str">
        <f t="shared" si="147"/>
        <v/>
      </c>
      <c r="BX13" t="str">
        <f t="shared" si="149"/>
        <v/>
      </c>
      <c r="BY13" t="str">
        <f t="shared" si="149"/>
        <v/>
      </c>
      <c r="BZ13" t="str">
        <f t="shared" si="149"/>
        <v/>
      </c>
      <c r="CA13" t="str">
        <f t="shared" si="149"/>
        <v/>
      </c>
      <c r="CB13" t="str">
        <f t="shared" si="149"/>
        <v/>
      </c>
      <c r="CC13" t="str">
        <f t="shared" si="149"/>
        <v/>
      </c>
      <c r="CD13" t="str">
        <f t="shared" si="149"/>
        <v/>
      </c>
      <c r="CE13" t="str">
        <f t="shared" si="149"/>
        <v/>
      </c>
      <c r="CF13" t="str">
        <f t="shared" si="149"/>
        <v/>
      </c>
      <c r="CG13" t="str">
        <f t="shared" si="149"/>
        <v/>
      </c>
      <c r="CH13" t="str">
        <f t="shared" si="149"/>
        <v/>
      </c>
      <c r="CI13" t="str">
        <f t="shared" si="149"/>
        <v/>
      </c>
      <c r="CJ13" t="str">
        <f t="shared" si="149"/>
        <v/>
      </c>
      <c r="CK13" t="str">
        <f t="shared" si="149"/>
        <v/>
      </c>
      <c r="CL13" t="str">
        <f t="shared" si="149"/>
        <v/>
      </c>
      <c r="CM13" t="str">
        <f t="shared" si="149"/>
        <v/>
      </c>
      <c r="CN13" t="str">
        <f t="shared" si="149"/>
        <v/>
      </c>
      <c r="CO13" t="str">
        <f t="shared" si="144"/>
        <v/>
      </c>
      <c r="CP13" t="str">
        <f t="shared" si="144"/>
        <v/>
      </c>
      <c r="CQ13" t="str">
        <f t="shared" si="144"/>
        <v/>
      </c>
      <c r="CR13" t="str">
        <f t="shared" si="144"/>
        <v/>
      </c>
      <c r="CS13" t="str">
        <f t="shared" si="144"/>
        <v/>
      </c>
      <c r="CT13" t="str">
        <f t="shared" si="144"/>
        <v/>
      </c>
      <c r="CU13" t="str">
        <f t="shared" si="145"/>
        <v/>
      </c>
      <c r="CV13" t="str">
        <f t="shared" ca="1" si="145"/>
        <v>◇</v>
      </c>
      <c r="CW13" t="str">
        <f t="shared" ca="1" si="145"/>
        <v/>
      </c>
      <c r="CX13" t="str">
        <f t="shared" ca="1" si="145"/>
        <v/>
      </c>
      <c r="CY13" t="str">
        <f t="shared" ca="1" si="145"/>
        <v/>
      </c>
      <c r="CZ13" t="str">
        <f t="shared" ca="1" si="148"/>
        <v/>
      </c>
      <c r="DA13" t="str">
        <f t="shared" ca="1" si="148"/>
        <v/>
      </c>
      <c r="DB13" t="str">
        <f t="shared" si="148"/>
        <v/>
      </c>
      <c r="DC13" t="str">
        <f t="shared" si="148"/>
        <v/>
      </c>
      <c r="DD13" t="str">
        <f t="shared" si="148"/>
        <v/>
      </c>
      <c r="DE13" t="str">
        <f t="shared" si="148"/>
        <v/>
      </c>
      <c r="DF13" t="str">
        <f t="shared" si="148"/>
        <v/>
      </c>
      <c r="DG13" t="str">
        <f t="shared" si="148"/>
        <v/>
      </c>
      <c r="DH13" t="str">
        <f t="shared" si="148"/>
        <v/>
      </c>
      <c r="DI13" t="str">
        <f t="shared" si="148"/>
        <v/>
      </c>
      <c r="DJ13" t="str">
        <f t="shared" si="148"/>
        <v/>
      </c>
      <c r="DK13" t="str">
        <f t="shared" si="148"/>
        <v/>
      </c>
      <c r="DL13" t="str">
        <f t="shared" si="148"/>
        <v/>
      </c>
      <c r="DM13" t="str">
        <f t="shared" si="148"/>
        <v/>
      </c>
      <c r="DN13" t="str">
        <f t="shared" si="148"/>
        <v/>
      </c>
      <c r="DO13" t="str">
        <f t="shared" si="148"/>
        <v/>
      </c>
      <c r="DP13" t="str">
        <f t="shared" si="148"/>
        <v/>
      </c>
      <c r="DQ13" t="str">
        <f t="shared" si="148"/>
        <v/>
      </c>
      <c r="DR13" t="str">
        <f t="shared" si="148"/>
        <v/>
      </c>
      <c r="DS13" t="str">
        <f t="shared" si="148"/>
        <v/>
      </c>
      <c r="DT13" t="str">
        <f t="shared" si="148"/>
        <v/>
      </c>
      <c r="DU13" t="str">
        <f t="shared" si="148"/>
        <v/>
      </c>
    </row>
    <row r="14" spans="1:125" outlineLevel="1">
      <c r="A14" s="13">
        <v>6</v>
      </c>
      <c r="B14" s="77" t="s">
        <v>158</v>
      </c>
      <c r="C14" s="15"/>
      <c r="D14" s="15">
        <v>45698</v>
      </c>
      <c r="E14" s="15">
        <v>45708</v>
      </c>
      <c r="F14" s="15"/>
      <c r="G14" s="15"/>
      <c r="H14" s="29">
        <v>0</v>
      </c>
      <c r="I14" s="15" t="s">
        <v>180</v>
      </c>
      <c r="J14" s="15" t="s">
        <v>166</v>
      </c>
      <c r="K14" s="14"/>
      <c r="L14" s="64"/>
      <c r="M14" t="str">
        <f t="shared" si="141"/>
        <v/>
      </c>
      <c r="N14" t="str">
        <f t="shared" si="141"/>
        <v/>
      </c>
      <c r="O14" t="str">
        <f t="shared" ca="1" si="142"/>
        <v>◇</v>
      </c>
      <c r="P14" t="str">
        <f t="shared" ca="1" si="147"/>
        <v>◇</v>
      </c>
      <c r="Q14" t="str">
        <f t="shared" ca="1" si="147"/>
        <v>◇</v>
      </c>
      <c r="R14" t="str">
        <f t="shared" ca="1" si="147"/>
        <v>◇</v>
      </c>
      <c r="S14" t="str">
        <f t="shared" ca="1" si="147"/>
        <v>◇</v>
      </c>
      <c r="T14" t="str">
        <f t="shared" ca="1" si="147"/>
        <v>◇</v>
      </c>
      <c r="U14" t="str">
        <f t="shared" ca="1" si="147"/>
        <v>◇</v>
      </c>
      <c r="V14" t="str">
        <f t="shared" ca="1" si="147"/>
        <v/>
      </c>
      <c r="W14" t="str">
        <f t="shared" ca="1" si="147"/>
        <v/>
      </c>
      <c r="X14" t="str">
        <f t="shared" ca="1" si="147"/>
        <v/>
      </c>
      <c r="Y14" t="str">
        <f t="shared" ca="1" si="147"/>
        <v/>
      </c>
      <c r="Z14" t="str">
        <f t="shared" si="147"/>
        <v/>
      </c>
      <c r="AA14" t="str">
        <f t="shared" si="147"/>
        <v/>
      </c>
      <c r="AB14" t="str">
        <f t="shared" si="147"/>
        <v/>
      </c>
      <c r="AC14" t="str">
        <f t="shared" si="147"/>
        <v/>
      </c>
      <c r="AD14" t="str">
        <f t="shared" si="147"/>
        <v/>
      </c>
      <c r="AE14" t="str">
        <f t="shared" si="147"/>
        <v/>
      </c>
      <c r="AF14" t="str">
        <f t="shared" si="147"/>
        <v/>
      </c>
      <c r="AG14" t="str">
        <f t="shared" si="147"/>
        <v/>
      </c>
      <c r="AH14" t="str">
        <f t="shared" si="147"/>
        <v/>
      </c>
      <c r="AI14" t="str">
        <f t="shared" si="147"/>
        <v/>
      </c>
      <c r="AJ14" t="str">
        <f t="shared" si="147"/>
        <v/>
      </c>
      <c r="AK14" t="str">
        <f t="shared" si="147"/>
        <v/>
      </c>
      <c r="AL14" t="str">
        <f t="shared" si="147"/>
        <v/>
      </c>
      <c r="AM14" t="str">
        <f t="shared" si="147"/>
        <v/>
      </c>
      <c r="AN14" t="str">
        <f t="shared" si="147"/>
        <v/>
      </c>
      <c r="AO14" t="str">
        <f t="shared" si="147"/>
        <v/>
      </c>
      <c r="AP14" t="str">
        <f t="shared" si="147"/>
        <v/>
      </c>
      <c r="AQ14" t="str">
        <f t="shared" si="147"/>
        <v/>
      </c>
      <c r="AR14" t="str">
        <f t="shared" ref="P14:BW19" si="150">IF(AR$7&lt;=$E14,IF(AR$7&gt;=$D14,IF(((AR$7-$D14+1)/($E14-$D14+1))&lt;=$H14,$E$5,IF(AR$7&lt;$I$1,$H$5,"")),""),"")</f>
        <v/>
      </c>
      <c r="AS14" t="str">
        <f t="shared" si="150"/>
        <v/>
      </c>
      <c r="AT14" t="str">
        <f t="shared" si="150"/>
        <v/>
      </c>
      <c r="AU14" t="str">
        <f t="shared" si="150"/>
        <v/>
      </c>
      <c r="AV14" t="str">
        <f t="shared" si="150"/>
        <v/>
      </c>
      <c r="AW14" t="str">
        <f t="shared" si="150"/>
        <v/>
      </c>
      <c r="AX14" t="str">
        <f t="shared" si="150"/>
        <v/>
      </c>
      <c r="AY14" t="str">
        <f t="shared" si="150"/>
        <v/>
      </c>
      <c r="AZ14" t="str">
        <f t="shared" si="150"/>
        <v/>
      </c>
      <c r="BA14" t="str">
        <f t="shared" si="150"/>
        <v/>
      </c>
      <c r="BB14" t="str">
        <f t="shared" si="150"/>
        <v/>
      </c>
      <c r="BC14" t="str">
        <f t="shared" si="150"/>
        <v/>
      </c>
      <c r="BD14" t="str">
        <f t="shared" si="150"/>
        <v/>
      </c>
      <c r="BE14" t="str">
        <f t="shared" si="150"/>
        <v/>
      </c>
      <c r="BF14" t="str">
        <f t="shared" si="150"/>
        <v/>
      </c>
      <c r="BG14" t="str">
        <f t="shared" si="150"/>
        <v/>
      </c>
      <c r="BH14" t="str">
        <f t="shared" si="150"/>
        <v/>
      </c>
      <c r="BI14" t="str">
        <f t="shared" si="150"/>
        <v/>
      </c>
      <c r="BJ14" t="str">
        <f t="shared" si="150"/>
        <v/>
      </c>
      <c r="BK14" t="str">
        <f t="shared" si="150"/>
        <v/>
      </c>
      <c r="BL14" t="str">
        <f t="shared" si="150"/>
        <v/>
      </c>
      <c r="BM14" t="str">
        <f t="shared" si="150"/>
        <v/>
      </c>
      <c r="BN14" t="str">
        <f t="shared" si="150"/>
        <v/>
      </c>
      <c r="BO14" t="str">
        <f t="shared" si="150"/>
        <v/>
      </c>
      <c r="BP14" t="str">
        <f t="shared" si="150"/>
        <v/>
      </c>
      <c r="BQ14" t="str">
        <f t="shared" si="150"/>
        <v/>
      </c>
      <c r="BR14" t="str">
        <f t="shared" si="150"/>
        <v/>
      </c>
      <c r="BS14" t="str">
        <f t="shared" si="150"/>
        <v/>
      </c>
      <c r="BT14" t="str">
        <f t="shared" si="150"/>
        <v/>
      </c>
      <c r="BU14" t="str">
        <f t="shared" si="150"/>
        <v/>
      </c>
      <c r="BV14" t="str">
        <f t="shared" si="150"/>
        <v/>
      </c>
      <c r="BW14" t="str">
        <f t="shared" si="150"/>
        <v/>
      </c>
      <c r="BX14" t="str">
        <f t="shared" si="149"/>
        <v/>
      </c>
      <c r="BY14" t="str">
        <f t="shared" si="149"/>
        <v/>
      </c>
      <c r="BZ14" t="str">
        <f t="shared" si="149"/>
        <v/>
      </c>
      <c r="CA14" t="str">
        <f t="shared" si="149"/>
        <v/>
      </c>
      <c r="CB14" t="str">
        <f t="shared" si="149"/>
        <v/>
      </c>
      <c r="CC14" t="str">
        <f t="shared" si="149"/>
        <v/>
      </c>
      <c r="CD14" t="str">
        <f t="shared" si="149"/>
        <v/>
      </c>
      <c r="CE14" t="str">
        <f t="shared" si="149"/>
        <v/>
      </c>
      <c r="CF14" t="str">
        <f t="shared" si="149"/>
        <v/>
      </c>
      <c r="CG14" t="str">
        <f t="shared" si="149"/>
        <v/>
      </c>
      <c r="CH14" t="str">
        <f t="shared" si="149"/>
        <v/>
      </c>
      <c r="CI14" t="str">
        <f t="shared" si="149"/>
        <v/>
      </c>
      <c r="CJ14" t="str">
        <f t="shared" si="149"/>
        <v/>
      </c>
      <c r="CK14" t="str">
        <f t="shared" si="149"/>
        <v/>
      </c>
      <c r="CL14" t="str">
        <f t="shared" si="149"/>
        <v/>
      </c>
      <c r="CM14" t="str">
        <f t="shared" si="149"/>
        <v/>
      </c>
      <c r="CN14" t="str">
        <f t="shared" si="149"/>
        <v/>
      </c>
      <c r="CO14" t="str">
        <f t="shared" si="144"/>
        <v/>
      </c>
      <c r="CP14" t="str">
        <f t="shared" si="144"/>
        <v/>
      </c>
      <c r="CQ14" t="str">
        <f t="shared" si="144"/>
        <v/>
      </c>
      <c r="CR14" t="str">
        <f t="shared" si="144"/>
        <v/>
      </c>
      <c r="CS14" t="str">
        <f t="shared" si="144"/>
        <v/>
      </c>
      <c r="CT14" t="str">
        <f t="shared" si="144"/>
        <v/>
      </c>
      <c r="CU14" t="str">
        <f t="shared" si="145"/>
        <v/>
      </c>
      <c r="CV14" t="str">
        <f t="shared" ca="1" si="145"/>
        <v>◇</v>
      </c>
      <c r="CW14" t="str">
        <f t="shared" ca="1" si="145"/>
        <v/>
      </c>
      <c r="CX14" t="str">
        <f t="shared" si="145"/>
        <v/>
      </c>
      <c r="CY14" t="str">
        <f t="shared" si="145"/>
        <v/>
      </c>
      <c r="CZ14" t="str">
        <f t="shared" si="148"/>
        <v/>
      </c>
      <c r="DA14" t="str">
        <f t="shared" si="148"/>
        <v/>
      </c>
      <c r="DB14" t="str">
        <f t="shared" si="148"/>
        <v/>
      </c>
      <c r="DC14" t="str">
        <f t="shared" si="148"/>
        <v/>
      </c>
      <c r="DD14" t="str">
        <f t="shared" si="148"/>
        <v/>
      </c>
      <c r="DE14" t="str">
        <f t="shared" si="148"/>
        <v/>
      </c>
      <c r="DF14" t="str">
        <f t="shared" si="148"/>
        <v/>
      </c>
      <c r="DG14" t="str">
        <f t="shared" si="148"/>
        <v/>
      </c>
      <c r="DH14" t="str">
        <f t="shared" si="148"/>
        <v/>
      </c>
      <c r="DI14" t="str">
        <f t="shared" si="148"/>
        <v/>
      </c>
      <c r="DJ14" t="str">
        <f t="shared" si="148"/>
        <v/>
      </c>
      <c r="DK14" t="str">
        <f t="shared" si="148"/>
        <v/>
      </c>
      <c r="DL14" t="str">
        <f t="shared" si="148"/>
        <v/>
      </c>
      <c r="DM14" t="str">
        <f t="shared" si="148"/>
        <v/>
      </c>
      <c r="DN14" t="str">
        <f t="shared" si="148"/>
        <v/>
      </c>
      <c r="DO14" t="str">
        <f t="shared" si="148"/>
        <v/>
      </c>
      <c r="DP14" t="str">
        <f t="shared" si="148"/>
        <v/>
      </c>
      <c r="DQ14" t="str">
        <f t="shared" si="148"/>
        <v/>
      </c>
      <c r="DR14" t="str">
        <f t="shared" si="148"/>
        <v/>
      </c>
      <c r="DS14" t="str">
        <f t="shared" si="148"/>
        <v/>
      </c>
      <c r="DT14" t="str">
        <f t="shared" si="148"/>
        <v/>
      </c>
      <c r="DU14" t="str">
        <f t="shared" si="148"/>
        <v/>
      </c>
    </row>
    <row r="15" spans="1:125" outlineLevel="1">
      <c r="A15" s="13">
        <v>7</v>
      </c>
      <c r="B15" s="77" t="s">
        <v>159</v>
      </c>
      <c r="C15" s="15"/>
      <c r="D15" s="15">
        <v>45698</v>
      </c>
      <c r="E15" s="15">
        <v>45708</v>
      </c>
      <c r="F15" s="15"/>
      <c r="G15" s="15"/>
      <c r="H15" s="29">
        <v>0</v>
      </c>
      <c r="I15" s="15" t="s">
        <v>180</v>
      </c>
      <c r="J15" s="15" t="s">
        <v>165</v>
      </c>
      <c r="K15" s="14"/>
      <c r="L15" s="64"/>
      <c r="M15" t="str">
        <f t="shared" si="141"/>
        <v/>
      </c>
      <c r="N15" t="str">
        <f t="shared" si="141"/>
        <v/>
      </c>
      <c r="O15" t="str">
        <f t="shared" ca="1" si="142"/>
        <v>◇</v>
      </c>
      <c r="P15" t="str">
        <f t="shared" ca="1" si="150"/>
        <v>◇</v>
      </c>
      <c r="Q15" t="str">
        <f t="shared" ca="1" si="150"/>
        <v>◇</v>
      </c>
      <c r="R15" t="str">
        <f t="shared" ca="1" si="150"/>
        <v>◇</v>
      </c>
      <c r="S15" t="str">
        <f t="shared" ca="1" si="150"/>
        <v>◇</v>
      </c>
      <c r="T15" t="str">
        <f t="shared" ca="1" si="150"/>
        <v>◇</v>
      </c>
      <c r="U15" t="str">
        <f t="shared" ca="1" si="150"/>
        <v>◇</v>
      </c>
      <c r="V15" t="str">
        <f t="shared" ca="1" si="150"/>
        <v/>
      </c>
      <c r="W15" t="str">
        <f t="shared" ca="1" si="150"/>
        <v/>
      </c>
      <c r="X15" t="str">
        <f t="shared" ca="1" si="150"/>
        <v/>
      </c>
      <c r="Y15" t="str">
        <f t="shared" ca="1" si="150"/>
        <v/>
      </c>
      <c r="Z15" t="str">
        <f t="shared" si="150"/>
        <v/>
      </c>
      <c r="AA15" t="str">
        <f t="shared" si="150"/>
        <v/>
      </c>
      <c r="AB15" t="str">
        <f t="shared" si="150"/>
        <v/>
      </c>
      <c r="AC15" t="str">
        <f t="shared" si="150"/>
        <v/>
      </c>
      <c r="AD15" t="str">
        <f t="shared" si="150"/>
        <v/>
      </c>
      <c r="AE15" t="str">
        <f t="shared" si="150"/>
        <v/>
      </c>
      <c r="AF15" t="str">
        <f t="shared" si="150"/>
        <v/>
      </c>
      <c r="AG15" t="str">
        <f t="shared" si="150"/>
        <v/>
      </c>
      <c r="AH15" t="str">
        <f t="shared" si="150"/>
        <v/>
      </c>
      <c r="AI15" t="str">
        <f t="shared" si="150"/>
        <v/>
      </c>
      <c r="AJ15" t="str">
        <f t="shared" si="150"/>
        <v/>
      </c>
      <c r="AK15" t="str">
        <f t="shared" si="150"/>
        <v/>
      </c>
      <c r="AL15" t="str">
        <f t="shared" si="150"/>
        <v/>
      </c>
      <c r="AM15" t="str">
        <f t="shared" si="150"/>
        <v/>
      </c>
      <c r="AN15" t="str">
        <f t="shared" si="150"/>
        <v/>
      </c>
      <c r="AO15" t="str">
        <f t="shared" si="150"/>
        <v/>
      </c>
      <c r="AP15" t="str">
        <f t="shared" si="150"/>
        <v/>
      </c>
      <c r="AQ15" t="str">
        <f t="shared" si="150"/>
        <v/>
      </c>
      <c r="AR15" t="str">
        <f t="shared" si="150"/>
        <v/>
      </c>
      <c r="AS15" t="str">
        <f t="shared" si="150"/>
        <v/>
      </c>
      <c r="AT15" t="str">
        <f t="shared" si="150"/>
        <v/>
      </c>
      <c r="AU15" t="str">
        <f t="shared" si="150"/>
        <v/>
      </c>
      <c r="AV15" t="str">
        <f t="shared" si="150"/>
        <v/>
      </c>
      <c r="AW15" t="str">
        <f t="shared" si="150"/>
        <v/>
      </c>
      <c r="AX15" t="str">
        <f t="shared" si="150"/>
        <v/>
      </c>
      <c r="AY15" t="str">
        <f t="shared" si="150"/>
        <v/>
      </c>
      <c r="AZ15" t="str">
        <f t="shared" si="150"/>
        <v/>
      </c>
      <c r="BA15" t="str">
        <f t="shared" si="150"/>
        <v/>
      </c>
      <c r="BB15" t="str">
        <f t="shared" si="150"/>
        <v/>
      </c>
      <c r="BC15" t="str">
        <f t="shared" si="150"/>
        <v/>
      </c>
      <c r="BD15" t="str">
        <f t="shared" si="150"/>
        <v/>
      </c>
      <c r="BE15" t="str">
        <f t="shared" si="150"/>
        <v/>
      </c>
      <c r="BF15" t="str">
        <f t="shared" si="150"/>
        <v/>
      </c>
      <c r="BG15" t="str">
        <f t="shared" si="150"/>
        <v/>
      </c>
      <c r="BH15" t="str">
        <f t="shared" si="150"/>
        <v/>
      </c>
      <c r="BI15" t="str">
        <f t="shared" si="150"/>
        <v/>
      </c>
      <c r="BJ15" t="str">
        <f t="shared" si="150"/>
        <v/>
      </c>
      <c r="BK15" t="str">
        <f t="shared" si="150"/>
        <v/>
      </c>
      <c r="BL15" t="str">
        <f t="shared" si="150"/>
        <v/>
      </c>
      <c r="BM15" t="str">
        <f t="shared" si="150"/>
        <v/>
      </c>
      <c r="BN15" t="str">
        <f t="shared" si="150"/>
        <v/>
      </c>
      <c r="BO15" t="str">
        <f t="shared" si="150"/>
        <v/>
      </c>
      <c r="BP15" t="str">
        <f t="shared" si="150"/>
        <v/>
      </c>
      <c r="BQ15" t="str">
        <f t="shared" si="150"/>
        <v/>
      </c>
      <c r="BR15" t="str">
        <f t="shared" si="150"/>
        <v/>
      </c>
      <c r="BS15" t="str">
        <f t="shared" si="150"/>
        <v/>
      </c>
      <c r="BT15" t="str">
        <f t="shared" si="150"/>
        <v/>
      </c>
      <c r="BU15" t="str">
        <f t="shared" si="150"/>
        <v/>
      </c>
      <c r="BV15" t="str">
        <f t="shared" si="150"/>
        <v/>
      </c>
      <c r="BW15" t="str">
        <f t="shared" si="150"/>
        <v/>
      </c>
      <c r="BX15" t="str">
        <f t="shared" si="149"/>
        <v/>
      </c>
      <c r="BY15" t="str">
        <f t="shared" si="149"/>
        <v/>
      </c>
      <c r="BZ15" t="str">
        <f t="shared" si="149"/>
        <v/>
      </c>
      <c r="CA15" t="str">
        <f t="shared" si="149"/>
        <v/>
      </c>
      <c r="CB15" t="str">
        <f t="shared" si="149"/>
        <v/>
      </c>
      <c r="CC15" t="str">
        <f t="shared" si="149"/>
        <v/>
      </c>
      <c r="CD15" t="str">
        <f t="shared" si="149"/>
        <v/>
      </c>
      <c r="CE15" t="str">
        <f t="shared" si="149"/>
        <v/>
      </c>
      <c r="CF15" t="str">
        <f t="shared" si="149"/>
        <v/>
      </c>
      <c r="CG15" t="str">
        <f t="shared" si="149"/>
        <v/>
      </c>
      <c r="CH15" t="str">
        <f t="shared" si="149"/>
        <v/>
      </c>
      <c r="CI15" t="str">
        <f t="shared" si="149"/>
        <v/>
      </c>
      <c r="CJ15" t="str">
        <f t="shared" si="149"/>
        <v/>
      </c>
      <c r="CK15" t="str">
        <f t="shared" si="149"/>
        <v/>
      </c>
      <c r="CL15" t="str">
        <f t="shared" si="149"/>
        <v/>
      </c>
      <c r="CM15" t="str">
        <f t="shared" si="149"/>
        <v/>
      </c>
      <c r="CN15" t="str">
        <f t="shared" si="149"/>
        <v/>
      </c>
      <c r="CO15" t="str">
        <f t="shared" si="144"/>
        <v/>
      </c>
      <c r="CP15" t="str">
        <f t="shared" si="144"/>
        <v/>
      </c>
      <c r="CQ15" t="str">
        <f t="shared" si="144"/>
        <v/>
      </c>
      <c r="CR15" t="str">
        <f t="shared" si="144"/>
        <v/>
      </c>
      <c r="CS15" t="str">
        <f t="shared" si="144"/>
        <v/>
      </c>
      <c r="CT15" t="str">
        <f t="shared" si="144"/>
        <v/>
      </c>
      <c r="CU15" t="str">
        <f t="shared" si="145"/>
        <v/>
      </c>
      <c r="CV15" t="str">
        <f t="shared" ca="1" si="145"/>
        <v>◇</v>
      </c>
      <c r="CW15" t="str">
        <f t="shared" ca="1" si="145"/>
        <v/>
      </c>
      <c r="CX15" t="str">
        <f t="shared" si="145"/>
        <v/>
      </c>
      <c r="CY15" t="str">
        <f t="shared" si="145"/>
        <v/>
      </c>
      <c r="CZ15" t="str">
        <f t="shared" si="148"/>
        <v/>
      </c>
      <c r="DA15" t="str">
        <f t="shared" si="148"/>
        <v/>
      </c>
      <c r="DB15" t="str">
        <f t="shared" si="148"/>
        <v/>
      </c>
      <c r="DC15" t="str">
        <f t="shared" si="148"/>
        <v/>
      </c>
      <c r="DD15" t="str">
        <f t="shared" si="148"/>
        <v/>
      </c>
      <c r="DE15" t="str">
        <f t="shared" si="148"/>
        <v/>
      </c>
      <c r="DF15" t="str">
        <f t="shared" si="148"/>
        <v/>
      </c>
      <c r="DG15" t="str">
        <f t="shared" si="148"/>
        <v/>
      </c>
      <c r="DH15" t="str">
        <f t="shared" si="148"/>
        <v/>
      </c>
      <c r="DI15" t="str">
        <f t="shared" si="148"/>
        <v/>
      </c>
      <c r="DJ15" t="str">
        <f t="shared" si="148"/>
        <v/>
      </c>
      <c r="DK15" t="str">
        <f t="shared" si="148"/>
        <v/>
      </c>
      <c r="DL15" t="str">
        <f t="shared" si="148"/>
        <v/>
      </c>
      <c r="DM15" t="str">
        <f t="shared" si="148"/>
        <v/>
      </c>
      <c r="DN15" t="str">
        <f t="shared" si="148"/>
        <v/>
      </c>
      <c r="DO15" t="str">
        <f t="shared" si="148"/>
        <v/>
      </c>
      <c r="DP15" t="str">
        <f t="shared" si="148"/>
        <v/>
      </c>
      <c r="DQ15" t="str">
        <f t="shared" si="148"/>
        <v/>
      </c>
      <c r="DR15" t="str">
        <f t="shared" si="148"/>
        <v/>
      </c>
      <c r="DS15" t="str">
        <f t="shared" si="148"/>
        <v/>
      </c>
      <c r="DT15" t="str">
        <f t="shared" si="148"/>
        <v/>
      </c>
      <c r="DU15" t="str">
        <f t="shared" si="148"/>
        <v/>
      </c>
    </row>
    <row r="16" spans="1:125" outlineLevel="1">
      <c r="A16" s="78">
        <v>8</v>
      </c>
      <c r="B16" s="77" t="s">
        <v>186</v>
      </c>
      <c r="C16" s="15"/>
      <c r="D16" s="15"/>
      <c r="E16" s="15"/>
      <c r="F16" s="15"/>
      <c r="G16" s="15"/>
      <c r="H16" s="29">
        <v>0</v>
      </c>
      <c r="I16" s="15" t="s">
        <v>155</v>
      </c>
      <c r="J16" s="15" t="s">
        <v>166</v>
      </c>
      <c r="K16" s="14"/>
      <c r="L16" s="64"/>
      <c r="M16" t="str">
        <f t="shared" ref="M16:BW16" si="151">IF(M$7&lt;=$E16,IF(M$7&gt;=$D16,IF(((M$7-$D16+1)/($E16-$D16+1))&lt;=$H16,$E$5,IF(M$7&lt;$I$1,$H$5,"")),""),"")</f>
        <v/>
      </c>
      <c r="N16" t="str">
        <f t="shared" si="151"/>
        <v/>
      </c>
      <c r="O16" t="str">
        <f t="shared" si="151"/>
        <v/>
      </c>
      <c r="P16" t="str">
        <f t="shared" si="151"/>
        <v/>
      </c>
      <c r="Q16" t="str">
        <f t="shared" si="151"/>
        <v/>
      </c>
      <c r="R16" t="str">
        <f t="shared" si="151"/>
        <v/>
      </c>
      <c r="S16" t="str">
        <f t="shared" si="151"/>
        <v/>
      </c>
      <c r="T16" t="str">
        <f t="shared" si="151"/>
        <v/>
      </c>
      <c r="U16" t="str">
        <f t="shared" si="151"/>
        <v/>
      </c>
      <c r="V16" t="str">
        <f t="shared" si="151"/>
        <v/>
      </c>
      <c r="W16" t="str">
        <f t="shared" si="151"/>
        <v/>
      </c>
      <c r="X16" t="str">
        <f t="shared" si="151"/>
        <v/>
      </c>
      <c r="Y16" t="str">
        <f t="shared" si="151"/>
        <v/>
      </c>
      <c r="Z16" t="str">
        <f t="shared" si="151"/>
        <v/>
      </c>
      <c r="AA16" t="str">
        <f t="shared" si="151"/>
        <v/>
      </c>
      <c r="AB16" t="str">
        <f t="shared" si="151"/>
        <v/>
      </c>
      <c r="AC16" t="str">
        <f t="shared" si="151"/>
        <v/>
      </c>
      <c r="AD16" t="str">
        <f t="shared" si="151"/>
        <v/>
      </c>
      <c r="AE16" t="str">
        <f t="shared" si="151"/>
        <v/>
      </c>
      <c r="AF16" t="str">
        <f t="shared" si="151"/>
        <v/>
      </c>
      <c r="AG16" t="str">
        <f t="shared" si="151"/>
        <v/>
      </c>
      <c r="AH16" t="str">
        <f t="shared" si="151"/>
        <v/>
      </c>
      <c r="AI16" t="str">
        <f t="shared" si="151"/>
        <v/>
      </c>
      <c r="AJ16" t="str">
        <f t="shared" si="151"/>
        <v/>
      </c>
      <c r="AK16" t="str">
        <f t="shared" si="151"/>
        <v/>
      </c>
      <c r="AL16" t="str">
        <f t="shared" si="151"/>
        <v/>
      </c>
      <c r="AM16" t="str">
        <f t="shared" si="151"/>
        <v/>
      </c>
      <c r="AN16" t="str">
        <f t="shared" si="151"/>
        <v/>
      </c>
      <c r="AO16" t="str">
        <f t="shared" si="151"/>
        <v/>
      </c>
      <c r="AP16" t="str">
        <f t="shared" si="151"/>
        <v/>
      </c>
      <c r="AQ16" t="str">
        <f t="shared" si="151"/>
        <v/>
      </c>
      <c r="AR16" t="str">
        <f t="shared" si="151"/>
        <v/>
      </c>
      <c r="AS16" t="str">
        <f t="shared" si="151"/>
        <v/>
      </c>
      <c r="AT16" t="str">
        <f t="shared" si="151"/>
        <v/>
      </c>
      <c r="AU16" t="str">
        <f t="shared" si="151"/>
        <v/>
      </c>
      <c r="AV16" t="str">
        <f t="shared" si="151"/>
        <v/>
      </c>
      <c r="AW16" t="str">
        <f t="shared" si="151"/>
        <v/>
      </c>
      <c r="AX16" t="str">
        <f t="shared" si="151"/>
        <v/>
      </c>
      <c r="AY16" t="str">
        <f t="shared" si="151"/>
        <v/>
      </c>
      <c r="AZ16" t="str">
        <f t="shared" si="151"/>
        <v/>
      </c>
      <c r="BA16" t="str">
        <f t="shared" si="151"/>
        <v/>
      </c>
      <c r="BB16" t="str">
        <f t="shared" si="151"/>
        <v/>
      </c>
      <c r="BC16" t="str">
        <f t="shared" si="151"/>
        <v/>
      </c>
      <c r="BD16" t="str">
        <f t="shared" si="151"/>
        <v/>
      </c>
      <c r="BE16" t="str">
        <f t="shared" si="151"/>
        <v/>
      </c>
      <c r="BF16" t="str">
        <f t="shared" si="151"/>
        <v/>
      </c>
      <c r="BG16" t="str">
        <f t="shared" si="151"/>
        <v/>
      </c>
      <c r="BH16" t="str">
        <f t="shared" si="151"/>
        <v/>
      </c>
      <c r="BI16" t="str">
        <f t="shared" si="151"/>
        <v/>
      </c>
      <c r="BJ16" t="str">
        <f t="shared" si="151"/>
        <v/>
      </c>
      <c r="BK16" t="str">
        <f t="shared" si="151"/>
        <v/>
      </c>
      <c r="BL16" t="str">
        <f t="shared" si="151"/>
        <v/>
      </c>
      <c r="BM16" t="str">
        <f t="shared" si="151"/>
        <v/>
      </c>
      <c r="BN16" t="str">
        <f t="shared" si="151"/>
        <v/>
      </c>
      <c r="BO16" t="str">
        <f t="shared" si="151"/>
        <v/>
      </c>
      <c r="BP16" t="str">
        <f t="shared" si="151"/>
        <v/>
      </c>
      <c r="BQ16" t="str">
        <f t="shared" si="151"/>
        <v/>
      </c>
      <c r="BR16" t="str">
        <f t="shared" si="151"/>
        <v/>
      </c>
      <c r="BS16" t="str">
        <f t="shared" si="151"/>
        <v/>
      </c>
      <c r="BT16" t="str">
        <f t="shared" si="151"/>
        <v/>
      </c>
      <c r="BU16" t="str">
        <f t="shared" si="151"/>
        <v/>
      </c>
      <c r="BV16" t="str">
        <f t="shared" si="151"/>
        <v/>
      </c>
      <c r="BW16" t="str">
        <f t="shared" si="151"/>
        <v/>
      </c>
      <c r="BX16" t="str">
        <f t="shared" si="149"/>
        <v/>
      </c>
      <c r="BY16" t="str">
        <f t="shared" si="149"/>
        <v/>
      </c>
      <c r="BZ16" t="str">
        <f t="shared" si="149"/>
        <v/>
      </c>
      <c r="CA16" t="str">
        <f t="shared" si="149"/>
        <v/>
      </c>
      <c r="CB16" t="str">
        <f t="shared" si="149"/>
        <v/>
      </c>
      <c r="CC16" t="str">
        <f t="shared" si="149"/>
        <v/>
      </c>
      <c r="CD16" t="str">
        <f t="shared" si="149"/>
        <v/>
      </c>
      <c r="CE16" t="str">
        <f t="shared" si="149"/>
        <v/>
      </c>
      <c r="CF16" t="str">
        <f t="shared" si="149"/>
        <v/>
      </c>
      <c r="CG16" t="str">
        <f t="shared" si="149"/>
        <v/>
      </c>
      <c r="CH16" t="str">
        <f t="shared" si="149"/>
        <v/>
      </c>
      <c r="CI16" t="str">
        <f t="shared" si="149"/>
        <v/>
      </c>
      <c r="CJ16" t="str">
        <f t="shared" si="149"/>
        <v/>
      </c>
      <c r="CK16" t="str">
        <f t="shared" si="149"/>
        <v/>
      </c>
      <c r="CL16" t="str">
        <f t="shared" si="149"/>
        <v/>
      </c>
      <c r="CM16" t="str">
        <f t="shared" si="149"/>
        <v/>
      </c>
      <c r="CN16" t="str">
        <f t="shared" si="149"/>
        <v/>
      </c>
      <c r="CO16" t="str">
        <f t="shared" ref="CO16:CT17" si="152">IF(CO$7&lt;=$E16,IF(CO$7&gt;=$D16,IF(((CO$7-$D16+1)/($E16-$D16+1))&lt;=$H16,$E$5,IF(CO$7&lt;$I$1,$H$5,"")),""),"")</f>
        <v/>
      </c>
      <c r="CP16" t="str">
        <f t="shared" si="152"/>
        <v/>
      </c>
      <c r="CQ16" t="str">
        <f t="shared" si="152"/>
        <v/>
      </c>
      <c r="CR16" t="str">
        <f t="shared" si="152"/>
        <v/>
      </c>
      <c r="CS16" t="str">
        <f t="shared" si="152"/>
        <v/>
      </c>
      <c r="CT16" t="str">
        <f t="shared" si="152"/>
        <v/>
      </c>
      <c r="CU16" t="str">
        <f t="shared" ref="CU16:DU16" si="153">IF(AND(CU$7&lt;=$E16,CU$7+6&gt;=$D16),IF((((IF(CU$7&gt;$D16,CU$7-$D16+1,1))+(IF(AND($I$1&gt;CU$7,$I$1&lt;=CU$7+6),IF(CU$7&gt;$I$1,$I$1-CU$7,0),0)))/($E16-$D16+1))&lt;=$H16,$E$5,IF(CU$7&lt;$I$1,$H$5,"")),"")</f>
        <v/>
      </c>
      <c r="CV16" t="str">
        <f t="shared" si="153"/>
        <v/>
      </c>
      <c r="CW16" t="str">
        <f t="shared" si="153"/>
        <v/>
      </c>
      <c r="CX16" t="str">
        <f t="shared" si="153"/>
        <v/>
      </c>
      <c r="CY16" t="str">
        <f t="shared" si="153"/>
        <v/>
      </c>
      <c r="CZ16" t="str">
        <f t="shared" si="153"/>
        <v/>
      </c>
      <c r="DA16" t="str">
        <f t="shared" si="153"/>
        <v/>
      </c>
      <c r="DB16" t="str">
        <f t="shared" si="153"/>
        <v/>
      </c>
      <c r="DC16" t="str">
        <f t="shared" si="153"/>
        <v/>
      </c>
      <c r="DD16" t="str">
        <f t="shared" si="153"/>
        <v/>
      </c>
      <c r="DE16" t="str">
        <f t="shared" si="153"/>
        <v/>
      </c>
      <c r="DF16" t="str">
        <f t="shared" si="153"/>
        <v/>
      </c>
      <c r="DG16" t="str">
        <f t="shared" si="153"/>
        <v/>
      </c>
      <c r="DH16" t="str">
        <f t="shared" si="153"/>
        <v/>
      </c>
      <c r="DI16" t="str">
        <f t="shared" si="153"/>
        <v/>
      </c>
      <c r="DJ16" t="str">
        <f t="shared" si="153"/>
        <v/>
      </c>
      <c r="DK16" t="str">
        <f t="shared" si="153"/>
        <v/>
      </c>
      <c r="DL16" t="str">
        <f t="shared" si="153"/>
        <v/>
      </c>
      <c r="DM16" t="str">
        <f t="shared" si="153"/>
        <v/>
      </c>
      <c r="DN16" t="str">
        <f t="shared" si="153"/>
        <v/>
      </c>
      <c r="DO16" t="str">
        <f t="shared" si="153"/>
        <v/>
      </c>
      <c r="DP16" t="str">
        <f t="shared" si="153"/>
        <v/>
      </c>
      <c r="DQ16" t="str">
        <f t="shared" si="153"/>
        <v/>
      </c>
      <c r="DR16" t="str">
        <f t="shared" si="153"/>
        <v/>
      </c>
      <c r="DS16" t="str">
        <f t="shared" si="153"/>
        <v/>
      </c>
      <c r="DT16" t="str">
        <f t="shared" si="153"/>
        <v/>
      </c>
      <c r="DU16" t="str">
        <f t="shared" si="153"/>
        <v/>
      </c>
    </row>
    <row r="17" spans="1:125" outlineLevel="1">
      <c r="A17" s="13">
        <v>9</v>
      </c>
      <c r="B17" s="77" t="s">
        <v>172</v>
      </c>
      <c r="C17" s="15"/>
      <c r="D17" s="15"/>
      <c r="E17" s="15"/>
      <c r="F17" s="15"/>
      <c r="G17" s="15"/>
      <c r="H17" s="29">
        <v>0</v>
      </c>
      <c r="I17" s="15" t="s">
        <v>155</v>
      </c>
      <c r="J17" s="15" t="s">
        <v>167</v>
      </c>
      <c r="K17" s="14"/>
      <c r="L17" s="64"/>
      <c r="M17" t="str">
        <f t="shared" si="141"/>
        <v/>
      </c>
      <c r="N17" t="str">
        <f t="shared" si="141"/>
        <v/>
      </c>
      <c r="O17" t="str">
        <f t="shared" si="142"/>
        <v/>
      </c>
      <c r="P17" t="str">
        <f t="shared" si="150"/>
        <v/>
      </c>
      <c r="Q17" t="str">
        <f t="shared" si="150"/>
        <v/>
      </c>
      <c r="R17" t="str">
        <f t="shared" si="150"/>
        <v/>
      </c>
      <c r="S17" t="str">
        <f t="shared" si="150"/>
        <v/>
      </c>
      <c r="T17" t="str">
        <f t="shared" si="150"/>
        <v/>
      </c>
      <c r="U17" t="str">
        <f t="shared" si="150"/>
        <v/>
      </c>
      <c r="V17" t="str">
        <f t="shared" si="150"/>
        <v/>
      </c>
      <c r="W17" t="str">
        <f t="shared" si="150"/>
        <v/>
      </c>
      <c r="X17" t="str">
        <f t="shared" si="150"/>
        <v/>
      </c>
      <c r="Y17" t="str">
        <f t="shared" si="150"/>
        <v/>
      </c>
      <c r="Z17" t="str">
        <f t="shared" si="150"/>
        <v/>
      </c>
      <c r="AA17" t="str">
        <f t="shared" si="150"/>
        <v/>
      </c>
      <c r="AB17" t="str">
        <f t="shared" si="150"/>
        <v/>
      </c>
      <c r="AC17" t="str">
        <f t="shared" si="150"/>
        <v/>
      </c>
      <c r="AD17" t="str">
        <f t="shared" si="150"/>
        <v/>
      </c>
      <c r="AE17" t="str">
        <f t="shared" si="150"/>
        <v/>
      </c>
      <c r="AF17" t="str">
        <f t="shared" si="150"/>
        <v/>
      </c>
      <c r="AG17" t="str">
        <f t="shared" si="150"/>
        <v/>
      </c>
      <c r="AH17" t="str">
        <f t="shared" si="150"/>
        <v/>
      </c>
      <c r="AI17" t="str">
        <f t="shared" si="150"/>
        <v/>
      </c>
      <c r="AJ17" t="str">
        <f t="shared" si="150"/>
        <v/>
      </c>
      <c r="AK17" t="str">
        <f t="shared" si="150"/>
        <v/>
      </c>
      <c r="AL17" t="str">
        <f t="shared" si="150"/>
        <v/>
      </c>
      <c r="AM17" t="str">
        <f t="shared" si="150"/>
        <v/>
      </c>
      <c r="AN17" t="str">
        <f t="shared" si="150"/>
        <v/>
      </c>
      <c r="AO17" t="str">
        <f t="shared" si="150"/>
        <v/>
      </c>
      <c r="AP17" t="str">
        <f t="shared" si="150"/>
        <v/>
      </c>
      <c r="AQ17" t="str">
        <f t="shared" si="150"/>
        <v/>
      </c>
      <c r="AR17" t="str">
        <f t="shared" si="150"/>
        <v/>
      </c>
      <c r="AS17" t="str">
        <f t="shared" si="150"/>
        <v/>
      </c>
      <c r="AT17" t="str">
        <f t="shared" si="150"/>
        <v/>
      </c>
      <c r="AU17" t="str">
        <f t="shared" si="150"/>
        <v/>
      </c>
      <c r="AV17" t="str">
        <f t="shared" si="150"/>
        <v/>
      </c>
      <c r="AW17" t="str">
        <f t="shared" si="150"/>
        <v/>
      </c>
      <c r="AX17" t="str">
        <f t="shared" si="150"/>
        <v/>
      </c>
      <c r="AY17" t="str">
        <f t="shared" si="150"/>
        <v/>
      </c>
      <c r="AZ17" t="str">
        <f t="shared" si="150"/>
        <v/>
      </c>
      <c r="BA17" t="str">
        <f t="shared" si="150"/>
        <v/>
      </c>
      <c r="BB17" t="str">
        <f t="shared" si="150"/>
        <v/>
      </c>
      <c r="BC17" t="str">
        <f t="shared" si="150"/>
        <v/>
      </c>
      <c r="BD17" t="str">
        <f t="shared" si="150"/>
        <v/>
      </c>
      <c r="BE17" t="str">
        <f t="shared" si="150"/>
        <v/>
      </c>
      <c r="BF17" t="str">
        <f t="shared" si="150"/>
        <v/>
      </c>
      <c r="BG17" t="str">
        <f t="shared" si="150"/>
        <v/>
      </c>
      <c r="BH17" t="str">
        <f t="shared" si="150"/>
        <v/>
      </c>
      <c r="BI17" t="str">
        <f t="shared" si="150"/>
        <v/>
      </c>
      <c r="BJ17" t="str">
        <f t="shared" si="150"/>
        <v/>
      </c>
      <c r="BK17" t="str">
        <f t="shared" si="150"/>
        <v/>
      </c>
      <c r="BL17" t="str">
        <f t="shared" si="150"/>
        <v/>
      </c>
      <c r="BM17" t="str">
        <f t="shared" si="150"/>
        <v/>
      </c>
      <c r="BN17" t="str">
        <f t="shared" si="150"/>
        <v/>
      </c>
      <c r="BO17" t="str">
        <f t="shared" si="150"/>
        <v/>
      </c>
      <c r="BP17" t="str">
        <f t="shared" si="150"/>
        <v/>
      </c>
      <c r="BQ17" t="str">
        <f t="shared" si="150"/>
        <v/>
      </c>
      <c r="BR17" t="str">
        <f t="shared" si="150"/>
        <v/>
      </c>
      <c r="BS17" t="str">
        <f t="shared" si="150"/>
        <v/>
      </c>
      <c r="BT17" t="str">
        <f t="shared" si="150"/>
        <v/>
      </c>
      <c r="BU17" t="str">
        <f t="shared" si="150"/>
        <v/>
      </c>
      <c r="BV17" t="str">
        <f t="shared" si="150"/>
        <v/>
      </c>
      <c r="BW17" t="str">
        <f t="shared" si="150"/>
        <v/>
      </c>
      <c r="BX17" t="str">
        <f t="shared" si="149"/>
        <v/>
      </c>
      <c r="BY17" t="str">
        <f t="shared" si="149"/>
        <v/>
      </c>
      <c r="BZ17" t="str">
        <f t="shared" si="149"/>
        <v/>
      </c>
      <c r="CA17" t="str">
        <f t="shared" si="149"/>
        <v/>
      </c>
      <c r="CB17" t="str">
        <f t="shared" si="149"/>
        <v/>
      </c>
      <c r="CC17" t="str">
        <f t="shared" si="149"/>
        <v/>
      </c>
      <c r="CD17" t="str">
        <f t="shared" si="149"/>
        <v/>
      </c>
      <c r="CE17" t="str">
        <f t="shared" si="149"/>
        <v/>
      </c>
      <c r="CF17" t="str">
        <f t="shared" si="149"/>
        <v/>
      </c>
      <c r="CG17" t="str">
        <f t="shared" si="149"/>
        <v/>
      </c>
      <c r="CH17" t="str">
        <f t="shared" si="149"/>
        <v/>
      </c>
      <c r="CI17" t="str">
        <f t="shared" si="149"/>
        <v/>
      </c>
      <c r="CJ17" t="str">
        <f t="shared" si="149"/>
        <v/>
      </c>
      <c r="CK17" t="str">
        <f t="shared" si="149"/>
        <v/>
      </c>
      <c r="CL17" t="str">
        <f t="shared" si="149"/>
        <v/>
      </c>
      <c r="CM17" t="str">
        <f t="shared" si="149"/>
        <v/>
      </c>
      <c r="CN17" t="str">
        <f t="shared" si="149"/>
        <v/>
      </c>
      <c r="CO17" t="str">
        <f t="shared" si="152"/>
        <v/>
      </c>
      <c r="CP17" t="str">
        <f t="shared" si="152"/>
        <v/>
      </c>
      <c r="CQ17" t="str">
        <f t="shared" si="152"/>
        <v/>
      </c>
      <c r="CR17" t="str">
        <f t="shared" si="152"/>
        <v/>
      </c>
      <c r="CS17" t="str">
        <f t="shared" si="152"/>
        <v/>
      </c>
      <c r="CT17" t="str">
        <f t="shared" si="152"/>
        <v/>
      </c>
      <c r="CU17" t="str">
        <f t="shared" si="145"/>
        <v/>
      </c>
      <c r="CV17" t="str">
        <f t="shared" si="145"/>
        <v/>
      </c>
      <c r="CW17" t="str">
        <f t="shared" si="145"/>
        <v/>
      </c>
      <c r="CX17" t="str">
        <f t="shared" si="145"/>
        <v/>
      </c>
      <c r="CY17" t="str">
        <f t="shared" si="145"/>
        <v/>
      </c>
      <c r="CZ17" t="str">
        <f t="shared" si="148"/>
        <v/>
      </c>
      <c r="DA17" t="str">
        <f t="shared" si="148"/>
        <v/>
      </c>
      <c r="DB17" t="str">
        <f t="shared" si="148"/>
        <v/>
      </c>
      <c r="DC17" t="str">
        <f t="shared" si="148"/>
        <v/>
      </c>
      <c r="DD17" t="str">
        <f t="shared" si="148"/>
        <v/>
      </c>
      <c r="DE17" t="str">
        <f t="shared" si="148"/>
        <v/>
      </c>
      <c r="DF17" t="str">
        <f t="shared" si="148"/>
        <v/>
      </c>
      <c r="DG17" t="str">
        <f t="shared" si="148"/>
        <v/>
      </c>
      <c r="DH17" t="str">
        <f t="shared" si="148"/>
        <v/>
      </c>
      <c r="DI17" t="str">
        <f t="shared" si="148"/>
        <v/>
      </c>
      <c r="DJ17" t="str">
        <f t="shared" si="148"/>
        <v/>
      </c>
      <c r="DK17" t="str">
        <f t="shared" si="148"/>
        <v/>
      </c>
      <c r="DL17" t="str">
        <f t="shared" si="148"/>
        <v/>
      </c>
      <c r="DM17" t="str">
        <f t="shared" si="148"/>
        <v/>
      </c>
      <c r="DN17" t="str">
        <f t="shared" si="148"/>
        <v/>
      </c>
      <c r="DO17" t="str">
        <f t="shared" si="148"/>
        <v/>
      </c>
      <c r="DP17" t="str">
        <f t="shared" si="148"/>
        <v/>
      </c>
      <c r="DQ17" t="str">
        <f t="shared" si="148"/>
        <v/>
      </c>
      <c r="DR17" t="str">
        <f t="shared" si="148"/>
        <v/>
      </c>
      <c r="DS17" t="str">
        <f t="shared" si="148"/>
        <v/>
      </c>
      <c r="DT17" t="str">
        <f t="shared" si="148"/>
        <v/>
      </c>
      <c r="DU17" t="str">
        <f t="shared" si="148"/>
        <v/>
      </c>
    </row>
    <row r="18" spans="1:125" outlineLevel="1">
      <c r="A18" s="13">
        <v>10</v>
      </c>
      <c r="B18" s="77" t="s">
        <v>161</v>
      </c>
      <c r="C18" s="15"/>
      <c r="D18" s="15">
        <v>45698</v>
      </c>
      <c r="E18" s="15">
        <v>45708</v>
      </c>
      <c r="F18" s="15"/>
      <c r="G18" s="15"/>
      <c r="H18" s="29">
        <v>0</v>
      </c>
      <c r="I18" s="15" t="s">
        <v>155</v>
      </c>
      <c r="J18" s="15" t="s">
        <v>165</v>
      </c>
      <c r="K18" s="14"/>
      <c r="L18" s="64"/>
      <c r="M18" t="str">
        <f t="shared" si="141"/>
        <v/>
      </c>
      <c r="N18" t="str">
        <f t="shared" si="141"/>
        <v/>
      </c>
      <c r="O18" t="str">
        <f t="shared" ca="1" si="142"/>
        <v>◇</v>
      </c>
      <c r="P18" t="str">
        <f t="shared" ca="1" si="150"/>
        <v>◇</v>
      </c>
      <c r="Q18" t="str">
        <f t="shared" ca="1" si="150"/>
        <v>◇</v>
      </c>
      <c r="R18" t="str">
        <f t="shared" ca="1" si="150"/>
        <v>◇</v>
      </c>
      <c r="S18" t="str">
        <f t="shared" ca="1" si="150"/>
        <v>◇</v>
      </c>
      <c r="T18" t="str">
        <f t="shared" ca="1" si="150"/>
        <v>◇</v>
      </c>
      <c r="U18" t="str">
        <f t="shared" ca="1" si="150"/>
        <v>◇</v>
      </c>
      <c r="V18" t="str">
        <f t="shared" ca="1" si="150"/>
        <v/>
      </c>
      <c r="W18" t="str">
        <f t="shared" ca="1" si="150"/>
        <v/>
      </c>
      <c r="X18" t="str">
        <f t="shared" ca="1" si="150"/>
        <v/>
      </c>
      <c r="Y18" t="str">
        <f t="shared" ca="1" si="150"/>
        <v/>
      </c>
      <c r="Z18" t="str">
        <f t="shared" si="150"/>
        <v/>
      </c>
      <c r="AA18" t="str">
        <f t="shared" si="150"/>
        <v/>
      </c>
      <c r="AB18" t="str">
        <f t="shared" si="150"/>
        <v/>
      </c>
      <c r="AC18" t="str">
        <f t="shared" si="150"/>
        <v/>
      </c>
      <c r="AD18" t="str">
        <f t="shared" si="150"/>
        <v/>
      </c>
      <c r="AE18" t="str">
        <f t="shared" si="150"/>
        <v/>
      </c>
      <c r="AF18" t="str">
        <f t="shared" si="150"/>
        <v/>
      </c>
      <c r="AG18" t="str">
        <f t="shared" si="150"/>
        <v/>
      </c>
      <c r="AH18" t="str">
        <f t="shared" si="150"/>
        <v/>
      </c>
      <c r="AI18" t="str">
        <f t="shared" si="150"/>
        <v/>
      </c>
      <c r="AJ18" t="str">
        <f t="shared" si="150"/>
        <v/>
      </c>
      <c r="AK18" t="str">
        <f t="shared" si="150"/>
        <v/>
      </c>
      <c r="AL18" t="str">
        <f t="shared" si="150"/>
        <v/>
      </c>
      <c r="AM18" t="str">
        <f t="shared" si="150"/>
        <v/>
      </c>
      <c r="AN18" t="str">
        <f t="shared" si="150"/>
        <v/>
      </c>
      <c r="AO18" t="str">
        <f t="shared" si="150"/>
        <v/>
      </c>
      <c r="AP18" t="str">
        <f t="shared" si="150"/>
        <v/>
      </c>
      <c r="AQ18" t="str">
        <f t="shared" si="150"/>
        <v/>
      </c>
      <c r="AR18" t="str">
        <f t="shared" si="150"/>
        <v/>
      </c>
      <c r="AS18" t="str">
        <f t="shared" si="150"/>
        <v/>
      </c>
      <c r="AT18" t="str">
        <f t="shared" si="150"/>
        <v/>
      </c>
      <c r="AU18" t="str">
        <f t="shared" si="150"/>
        <v/>
      </c>
      <c r="AV18" t="str">
        <f t="shared" si="150"/>
        <v/>
      </c>
      <c r="AW18" t="str">
        <f t="shared" si="150"/>
        <v/>
      </c>
      <c r="AX18" t="str">
        <f t="shared" si="150"/>
        <v/>
      </c>
      <c r="AY18" t="str">
        <f t="shared" si="150"/>
        <v/>
      </c>
      <c r="AZ18" t="str">
        <f t="shared" si="150"/>
        <v/>
      </c>
      <c r="BA18" t="str">
        <f t="shared" si="150"/>
        <v/>
      </c>
      <c r="BB18" t="str">
        <f t="shared" si="150"/>
        <v/>
      </c>
      <c r="BC18" t="str">
        <f t="shared" si="150"/>
        <v/>
      </c>
      <c r="BD18" t="str">
        <f t="shared" si="150"/>
        <v/>
      </c>
      <c r="BE18" t="str">
        <f t="shared" si="150"/>
        <v/>
      </c>
      <c r="BF18" t="str">
        <f t="shared" si="150"/>
        <v/>
      </c>
      <c r="BG18" t="str">
        <f t="shared" si="150"/>
        <v/>
      </c>
      <c r="BH18" t="str">
        <f t="shared" si="150"/>
        <v/>
      </c>
      <c r="BI18" t="str">
        <f t="shared" si="150"/>
        <v/>
      </c>
      <c r="BJ18" t="str">
        <f t="shared" si="150"/>
        <v/>
      </c>
      <c r="BK18" t="str">
        <f t="shared" si="150"/>
        <v/>
      </c>
      <c r="BL18" t="str">
        <f t="shared" si="150"/>
        <v/>
      </c>
      <c r="BM18" t="str">
        <f t="shared" si="150"/>
        <v/>
      </c>
      <c r="BN18" t="str">
        <f t="shared" si="150"/>
        <v/>
      </c>
      <c r="BO18" t="str">
        <f t="shared" si="150"/>
        <v/>
      </c>
      <c r="BP18" t="str">
        <f t="shared" si="150"/>
        <v/>
      </c>
      <c r="BQ18" t="str">
        <f t="shared" si="150"/>
        <v/>
      </c>
      <c r="BR18" t="str">
        <f t="shared" si="150"/>
        <v/>
      </c>
      <c r="BS18" t="str">
        <f t="shared" si="150"/>
        <v/>
      </c>
      <c r="BT18" t="str">
        <f t="shared" si="150"/>
        <v/>
      </c>
      <c r="BU18" t="str">
        <f t="shared" si="150"/>
        <v/>
      </c>
      <c r="BV18" t="str">
        <f t="shared" si="150"/>
        <v/>
      </c>
      <c r="BW18" t="str">
        <f t="shared" si="150"/>
        <v/>
      </c>
      <c r="BX18" t="str">
        <f t="shared" ref="BX18:CT18" si="154">IF(BX$7&lt;=$E18,IF(BX$7&gt;=$D18,IF(((BX$7-$D18+1)/($E18-$D18+1))&lt;=$H18,$E$5,IF(BX$7&lt;$I$1,$H$5,"")),""),"")</f>
        <v/>
      </c>
      <c r="BY18" t="str">
        <f t="shared" si="154"/>
        <v/>
      </c>
      <c r="BZ18" t="str">
        <f t="shared" si="154"/>
        <v/>
      </c>
      <c r="CA18" t="str">
        <f t="shared" si="154"/>
        <v/>
      </c>
      <c r="CB18" t="str">
        <f t="shared" si="154"/>
        <v/>
      </c>
      <c r="CC18" t="str">
        <f t="shared" si="154"/>
        <v/>
      </c>
      <c r="CD18" t="str">
        <f t="shared" si="154"/>
        <v/>
      </c>
      <c r="CE18" t="str">
        <f t="shared" si="154"/>
        <v/>
      </c>
      <c r="CF18" t="str">
        <f t="shared" si="154"/>
        <v/>
      </c>
      <c r="CG18" t="str">
        <f t="shared" si="154"/>
        <v/>
      </c>
      <c r="CH18" t="str">
        <f t="shared" si="154"/>
        <v/>
      </c>
      <c r="CI18" t="str">
        <f t="shared" si="154"/>
        <v/>
      </c>
      <c r="CJ18" t="str">
        <f t="shared" si="154"/>
        <v/>
      </c>
      <c r="CK18" t="str">
        <f t="shared" si="154"/>
        <v/>
      </c>
      <c r="CL18" t="str">
        <f t="shared" si="154"/>
        <v/>
      </c>
      <c r="CM18" t="str">
        <f t="shared" si="154"/>
        <v/>
      </c>
      <c r="CN18" t="str">
        <f t="shared" si="154"/>
        <v/>
      </c>
      <c r="CO18" t="str">
        <f t="shared" si="154"/>
        <v/>
      </c>
      <c r="CP18" t="str">
        <f t="shared" si="154"/>
        <v/>
      </c>
      <c r="CQ18" t="str">
        <f t="shared" si="154"/>
        <v/>
      </c>
      <c r="CR18" t="str">
        <f t="shared" si="154"/>
        <v/>
      </c>
      <c r="CS18" t="str">
        <f t="shared" si="154"/>
        <v/>
      </c>
      <c r="CT18" t="str">
        <f t="shared" si="154"/>
        <v/>
      </c>
      <c r="CU18" t="str">
        <f t="shared" si="145"/>
        <v/>
      </c>
      <c r="CV18" t="str">
        <f t="shared" ca="1" si="145"/>
        <v>◇</v>
      </c>
      <c r="CW18" t="str">
        <f t="shared" ca="1" si="145"/>
        <v/>
      </c>
      <c r="CX18" t="str">
        <f t="shared" si="145"/>
        <v/>
      </c>
      <c r="CY18" t="str">
        <f t="shared" si="145"/>
        <v/>
      </c>
      <c r="CZ18" t="str">
        <f t="shared" si="148"/>
        <v/>
      </c>
      <c r="DA18" t="str">
        <f t="shared" si="148"/>
        <v/>
      </c>
      <c r="DB18" t="str">
        <f t="shared" si="148"/>
        <v/>
      </c>
      <c r="DC18" t="str">
        <f t="shared" si="148"/>
        <v/>
      </c>
      <c r="DD18" t="str">
        <f t="shared" si="148"/>
        <v/>
      </c>
      <c r="DE18" t="str">
        <f t="shared" si="148"/>
        <v/>
      </c>
      <c r="DF18" t="str">
        <f t="shared" si="148"/>
        <v/>
      </c>
      <c r="DG18" t="str">
        <f t="shared" si="148"/>
        <v/>
      </c>
      <c r="DH18" t="str">
        <f t="shared" si="148"/>
        <v/>
      </c>
      <c r="DI18" t="str">
        <f t="shared" si="148"/>
        <v/>
      </c>
      <c r="DJ18" t="str">
        <f t="shared" si="148"/>
        <v/>
      </c>
      <c r="DK18" t="str">
        <f t="shared" si="148"/>
        <v/>
      </c>
      <c r="DL18" t="str">
        <f t="shared" si="148"/>
        <v/>
      </c>
      <c r="DM18" t="str">
        <f t="shared" si="148"/>
        <v/>
      </c>
      <c r="DN18" t="str">
        <f t="shared" si="148"/>
        <v/>
      </c>
      <c r="DO18" t="str">
        <f t="shared" si="148"/>
        <v/>
      </c>
      <c r="DP18" t="str">
        <f t="shared" si="148"/>
        <v/>
      </c>
      <c r="DQ18" t="str">
        <f t="shared" si="148"/>
        <v/>
      </c>
      <c r="DR18" t="str">
        <f t="shared" si="148"/>
        <v/>
      </c>
      <c r="DS18" t="str">
        <f t="shared" si="148"/>
        <v/>
      </c>
      <c r="DT18" t="str">
        <f t="shared" si="148"/>
        <v/>
      </c>
      <c r="DU18" t="str">
        <f t="shared" si="148"/>
        <v/>
      </c>
    </row>
    <row r="19" spans="1:125" outlineLevel="1">
      <c r="A19" s="13">
        <v>11</v>
      </c>
      <c r="B19" s="77" t="s">
        <v>170</v>
      </c>
      <c r="C19" s="15"/>
      <c r="D19" s="15"/>
      <c r="E19" s="15"/>
      <c r="F19" s="15"/>
      <c r="G19" s="15"/>
      <c r="H19" s="29">
        <v>0</v>
      </c>
      <c r="I19" s="15" t="s">
        <v>155</v>
      </c>
      <c r="J19" s="15" t="s">
        <v>167</v>
      </c>
      <c r="K19" s="14"/>
      <c r="L19" s="64"/>
      <c r="M19" t="str">
        <f t="shared" si="141"/>
        <v/>
      </c>
      <c r="N19" t="str">
        <f t="shared" si="141"/>
        <v/>
      </c>
      <c r="O19" t="str">
        <f t="shared" si="142"/>
        <v/>
      </c>
      <c r="P19" t="str">
        <f t="shared" si="150"/>
        <v/>
      </c>
      <c r="Q19" t="str">
        <f t="shared" si="150"/>
        <v/>
      </c>
      <c r="R19" t="str">
        <f t="shared" si="150"/>
        <v/>
      </c>
      <c r="S19" t="str">
        <f t="shared" si="150"/>
        <v/>
      </c>
      <c r="T19" t="str">
        <f t="shared" si="150"/>
        <v/>
      </c>
      <c r="U19" t="str">
        <f t="shared" si="150"/>
        <v/>
      </c>
      <c r="V19" t="str">
        <f t="shared" si="150"/>
        <v/>
      </c>
      <c r="W19" t="str">
        <f t="shared" si="150"/>
        <v/>
      </c>
      <c r="X19" t="str">
        <f t="shared" si="150"/>
        <v/>
      </c>
      <c r="Y19" t="str">
        <f t="shared" si="150"/>
        <v/>
      </c>
      <c r="Z19" t="str">
        <f t="shared" si="150"/>
        <v/>
      </c>
      <c r="AA19" t="str">
        <f t="shared" si="150"/>
        <v/>
      </c>
      <c r="AB19" t="str">
        <f t="shared" si="150"/>
        <v/>
      </c>
      <c r="AC19" t="str">
        <f t="shared" si="150"/>
        <v/>
      </c>
      <c r="AD19" t="str">
        <f t="shared" si="150"/>
        <v/>
      </c>
      <c r="AE19" t="str">
        <f t="shared" si="150"/>
        <v/>
      </c>
      <c r="AF19" t="str">
        <f t="shared" si="150"/>
        <v/>
      </c>
      <c r="AG19" t="str">
        <f t="shared" si="150"/>
        <v/>
      </c>
      <c r="AH19" t="str">
        <f t="shared" si="150"/>
        <v/>
      </c>
      <c r="AI19" t="str">
        <f t="shared" si="150"/>
        <v/>
      </c>
      <c r="AJ19" t="str">
        <f t="shared" si="150"/>
        <v/>
      </c>
      <c r="AK19" t="str">
        <f t="shared" si="150"/>
        <v/>
      </c>
      <c r="AL19" t="str">
        <f t="shared" si="150"/>
        <v/>
      </c>
      <c r="AM19" t="str">
        <f t="shared" si="150"/>
        <v/>
      </c>
      <c r="AN19" t="str">
        <f t="shared" si="150"/>
        <v/>
      </c>
      <c r="AO19" t="str">
        <f t="shared" si="150"/>
        <v/>
      </c>
      <c r="AP19" t="str">
        <f t="shared" si="150"/>
        <v/>
      </c>
      <c r="AQ19" t="str">
        <f t="shared" si="150"/>
        <v/>
      </c>
      <c r="AR19" t="str">
        <f t="shared" si="150"/>
        <v/>
      </c>
      <c r="AS19" t="str">
        <f t="shared" si="150"/>
        <v/>
      </c>
      <c r="AT19" t="str">
        <f t="shared" si="150"/>
        <v/>
      </c>
      <c r="AU19" t="str">
        <f t="shared" si="150"/>
        <v/>
      </c>
      <c r="AV19" t="str">
        <f t="shared" si="150"/>
        <v/>
      </c>
      <c r="AW19" t="str">
        <f t="shared" si="150"/>
        <v/>
      </c>
      <c r="AX19" t="str">
        <f t="shared" si="150"/>
        <v/>
      </c>
      <c r="AY19" t="str">
        <f t="shared" si="150"/>
        <v/>
      </c>
      <c r="AZ19" t="str">
        <f t="shared" si="150"/>
        <v/>
      </c>
      <c r="BA19" t="str">
        <f t="shared" si="150"/>
        <v/>
      </c>
      <c r="BB19" t="str">
        <f t="shared" si="150"/>
        <v/>
      </c>
      <c r="BC19" t="str">
        <f t="shared" si="150"/>
        <v/>
      </c>
      <c r="BD19" t="str">
        <f t="shared" si="150"/>
        <v/>
      </c>
      <c r="BE19" t="str">
        <f t="shared" si="150"/>
        <v/>
      </c>
      <c r="BF19" t="str">
        <f t="shared" si="150"/>
        <v/>
      </c>
      <c r="BG19" t="str">
        <f t="shared" ref="P19:BW24" si="155">IF(BG$7&lt;=$E19,IF(BG$7&gt;=$D19,IF(((BG$7-$D19+1)/($E19-$D19+1))&lt;=$H19,$E$5,IF(BG$7&lt;$I$1,$H$5,"")),""),"")</f>
        <v/>
      </c>
      <c r="BH19" t="str">
        <f t="shared" si="155"/>
        <v/>
      </c>
      <c r="BI19" t="str">
        <f t="shared" si="155"/>
        <v/>
      </c>
      <c r="BJ19" t="str">
        <f t="shared" si="155"/>
        <v/>
      </c>
      <c r="BK19" t="str">
        <f t="shared" si="155"/>
        <v/>
      </c>
      <c r="BL19" t="str">
        <f t="shared" si="155"/>
        <v/>
      </c>
      <c r="BM19" t="str">
        <f t="shared" si="155"/>
        <v/>
      </c>
      <c r="BN19" t="str">
        <f t="shared" si="155"/>
        <v/>
      </c>
      <c r="BO19" t="str">
        <f t="shared" si="155"/>
        <v/>
      </c>
      <c r="BP19" t="str">
        <f t="shared" si="155"/>
        <v/>
      </c>
      <c r="BQ19" t="str">
        <f t="shared" si="155"/>
        <v/>
      </c>
      <c r="BR19" t="str">
        <f t="shared" si="155"/>
        <v/>
      </c>
      <c r="BS19" t="str">
        <f t="shared" si="155"/>
        <v/>
      </c>
      <c r="BT19" t="str">
        <f t="shared" si="155"/>
        <v/>
      </c>
      <c r="BU19" t="str">
        <f t="shared" si="155"/>
        <v/>
      </c>
      <c r="BV19" t="str">
        <f t="shared" si="155"/>
        <v/>
      </c>
      <c r="BW19" t="str">
        <f t="shared" si="155"/>
        <v/>
      </c>
      <c r="BX19" t="str">
        <f t="shared" ref="BX19:CT23" si="156">IF(BX$7&lt;=$E19,IF(BX$7&gt;=$D19,IF(((BX$7-$D19+1)/($E19-$D19+1))&lt;=$H19,$E$5,IF(BX$7&lt;$I$1,$H$5,"")),""),"")</f>
        <v/>
      </c>
      <c r="BY19" t="str">
        <f t="shared" si="156"/>
        <v/>
      </c>
      <c r="BZ19" t="str">
        <f t="shared" si="156"/>
        <v/>
      </c>
      <c r="CA19" t="str">
        <f t="shared" si="156"/>
        <v/>
      </c>
      <c r="CB19" t="str">
        <f t="shared" si="156"/>
        <v/>
      </c>
      <c r="CC19" t="str">
        <f t="shared" si="156"/>
        <v/>
      </c>
      <c r="CD19" t="str">
        <f t="shared" si="156"/>
        <v/>
      </c>
      <c r="CE19" t="str">
        <f t="shared" si="156"/>
        <v/>
      </c>
      <c r="CF19" t="str">
        <f t="shared" si="156"/>
        <v/>
      </c>
      <c r="CG19" t="str">
        <f t="shared" si="156"/>
        <v/>
      </c>
      <c r="CH19" t="str">
        <f t="shared" si="156"/>
        <v/>
      </c>
      <c r="CI19" t="str">
        <f t="shared" si="156"/>
        <v/>
      </c>
      <c r="CJ19" t="str">
        <f t="shared" si="156"/>
        <v/>
      </c>
      <c r="CK19" t="str">
        <f t="shared" si="156"/>
        <v/>
      </c>
      <c r="CL19" t="str">
        <f t="shared" si="156"/>
        <v/>
      </c>
      <c r="CM19" t="str">
        <f t="shared" si="156"/>
        <v/>
      </c>
      <c r="CN19" t="str">
        <f t="shared" si="156"/>
        <v/>
      </c>
      <c r="CO19" t="str">
        <f t="shared" si="156"/>
        <v/>
      </c>
      <c r="CP19" t="str">
        <f t="shared" si="156"/>
        <v/>
      </c>
      <c r="CQ19" t="str">
        <f t="shared" si="156"/>
        <v/>
      </c>
      <c r="CR19" t="str">
        <f t="shared" si="156"/>
        <v/>
      </c>
      <c r="CS19" t="str">
        <f t="shared" si="156"/>
        <v/>
      </c>
      <c r="CT19" t="str">
        <f t="shared" si="156"/>
        <v/>
      </c>
      <c r="CU19" t="str">
        <f t="shared" si="145"/>
        <v/>
      </c>
      <c r="CV19" t="str">
        <f t="shared" si="145"/>
        <v/>
      </c>
      <c r="CW19" t="str">
        <f t="shared" si="145"/>
        <v/>
      </c>
      <c r="CX19" t="str">
        <f t="shared" si="145"/>
        <v/>
      </c>
      <c r="CY19" t="str">
        <f t="shared" si="145"/>
        <v/>
      </c>
      <c r="CZ19" t="str">
        <f t="shared" si="148"/>
        <v/>
      </c>
      <c r="DA19" t="str">
        <f t="shared" si="148"/>
        <v/>
      </c>
      <c r="DB19" t="str">
        <f t="shared" si="148"/>
        <v/>
      </c>
      <c r="DC19" t="str">
        <f t="shared" si="148"/>
        <v/>
      </c>
      <c r="DD19" t="str">
        <f t="shared" si="148"/>
        <v/>
      </c>
      <c r="DE19" t="str">
        <f t="shared" si="148"/>
        <v/>
      </c>
      <c r="DF19" t="str">
        <f t="shared" si="148"/>
        <v/>
      </c>
      <c r="DG19" t="str">
        <f t="shared" si="148"/>
        <v/>
      </c>
      <c r="DH19" t="str">
        <f t="shared" si="148"/>
        <v/>
      </c>
      <c r="DI19" t="str">
        <f t="shared" si="148"/>
        <v/>
      </c>
      <c r="DJ19" t="str">
        <f t="shared" si="148"/>
        <v/>
      </c>
      <c r="DK19" t="str">
        <f t="shared" si="148"/>
        <v/>
      </c>
      <c r="DL19" t="str">
        <f t="shared" si="148"/>
        <v/>
      </c>
      <c r="DM19" t="str">
        <f t="shared" si="148"/>
        <v/>
      </c>
      <c r="DN19" t="str">
        <f t="shared" si="148"/>
        <v/>
      </c>
      <c r="DO19" t="str">
        <f t="shared" si="148"/>
        <v/>
      </c>
      <c r="DP19" t="str">
        <f t="shared" si="148"/>
        <v/>
      </c>
      <c r="DQ19" t="str">
        <f t="shared" si="148"/>
        <v/>
      </c>
      <c r="DR19" t="str">
        <f t="shared" si="148"/>
        <v/>
      </c>
      <c r="DS19" t="str">
        <f t="shared" si="148"/>
        <v/>
      </c>
      <c r="DT19" t="str">
        <f t="shared" si="148"/>
        <v/>
      </c>
      <c r="DU19" t="str">
        <f t="shared" si="148"/>
        <v/>
      </c>
    </row>
    <row r="20" spans="1:125" outlineLevel="1">
      <c r="A20" s="78">
        <v>12</v>
      </c>
      <c r="B20" s="77" t="s">
        <v>171</v>
      </c>
      <c r="C20" s="15"/>
      <c r="D20" s="15"/>
      <c r="E20" s="15"/>
      <c r="F20" s="15"/>
      <c r="G20" s="15"/>
      <c r="H20" s="29">
        <v>0</v>
      </c>
      <c r="I20" s="15" t="s">
        <v>155</v>
      </c>
      <c r="J20" s="15" t="s">
        <v>167</v>
      </c>
      <c r="K20" s="14"/>
      <c r="L20" s="64"/>
      <c r="M20" t="str">
        <f t="shared" si="141"/>
        <v/>
      </c>
      <c r="N20" t="str">
        <f t="shared" si="141"/>
        <v/>
      </c>
      <c r="O20" t="str">
        <f t="shared" si="142"/>
        <v/>
      </c>
      <c r="P20" t="str">
        <f t="shared" si="155"/>
        <v/>
      </c>
      <c r="Q20" t="str">
        <f t="shared" si="155"/>
        <v/>
      </c>
      <c r="R20" t="str">
        <f t="shared" si="155"/>
        <v/>
      </c>
      <c r="S20" t="str">
        <f t="shared" si="155"/>
        <v/>
      </c>
      <c r="T20" t="str">
        <f t="shared" si="155"/>
        <v/>
      </c>
      <c r="U20" t="str">
        <f t="shared" si="155"/>
        <v/>
      </c>
      <c r="V20" t="str">
        <f t="shared" si="155"/>
        <v/>
      </c>
      <c r="W20" t="str">
        <f t="shared" si="155"/>
        <v/>
      </c>
      <c r="X20" t="str">
        <f t="shared" si="155"/>
        <v/>
      </c>
      <c r="Y20" t="str">
        <f t="shared" si="155"/>
        <v/>
      </c>
      <c r="Z20" t="str">
        <f t="shared" si="155"/>
        <v/>
      </c>
      <c r="AA20" t="str">
        <f t="shared" si="155"/>
        <v/>
      </c>
      <c r="AB20" t="str">
        <f t="shared" si="155"/>
        <v/>
      </c>
      <c r="AC20" t="str">
        <f t="shared" si="155"/>
        <v/>
      </c>
      <c r="AD20" t="str">
        <f t="shared" si="155"/>
        <v/>
      </c>
      <c r="AE20" t="str">
        <f t="shared" si="155"/>
        <v/>
      </c>
      <c r="AF20" t="str">
        <f t="shared" si="155"/>
        <v/>
      </c>
      <c r="AG20" t="str">
        <f t="shared" si="155"/>
        <v/>
      </c>
      <c r="AH20" t="str">
        <f t="shared" si="155"/>
        <v/>
      </c>
      <c r="AI20" t="str">
        <f t="shared" si="155"/>
        <v/>
      </c>
      <c r="AJ20" t="str">
        <f t="shared" si="155"/>
        <v/>
      </c>
      <c r="AK20" t="str">
        <f t="shared" si="155"/>
        <v/>
      </c>
      <c r="AL20" t="str">
        <f t="shared" si="155"/>
        <v/>
      </c>
      <c r="AM20" t="str">
        <f t="shared" si="155"/>
        <v/>
      </c>
      <c r="AN20" t="str">
        <f t="shared" si="155"/>
        <v/>
      </c>
      <c r="AO20" t="str">
        <f t="shared" si="155"/>
        <v/>
      </c>
      <c r="AP20" t="str">
        <f t="shared" si="155"/>
        <v/>
      </c>
      <c r="AQ20" t="str">
        <f t="shared" si="155"/>
        <v/>
      </c>
      <c r="AR20" t="str">
        <f t="shared" si="155"/>
        <v/>
      </c>
      <c r="AS20" t="str">
        <f t="shared" si="155"/>
        <v/>
      </c>
      <c r="AT20" t="str">
        <f t="shared" si="155"/>
        <v/>
      </c>
      <c r="AU20" t="str">
        <f t="shared" si="155"/>
        <v/>
      </c>
      <c r="AV20" t="str">
        <f t="shared" si="155"/>
        <v/>
      </c>
      <c r="AW20" t="str">
        <f t="shared" si="155"/>
        <v/>
      </c>
      <c r="AX20" t="str">
        <f t="shared" si="155"/>
        <v/>
      </c>
      <c r="AY20" t="str">
        <f t="shared" si="155"/>
        <v/>
      </c>
      <c r="AZ20" t="str">
        <f t="shared" si="155"/>
        <v/>
      </c>
      <c r="BA20" t="str">
        <f t="shared" si="155"/>
        <v/>
      </c>
      <c r="BB20" t="str">
        <f t="shared" si="155"/>
        <v/>
      </c>
      <c r="BC20" t="str">
        <f t="shared" si="155"/>
        <v/>
      </c>
      <c r="BD20" t="str">
        <f t="shared" si="155"/>
        <v/>
      </c>
      <c r="BE20" t="str">
        <f t="shared" si="155"/>
        <v/>
      </c>
      <c r="BF20" t="str">
        <f t="shared" si="155"/>
        <v/>
      </c>
      <c r="BG20" t="str">
        <f t="shared" si="155"/>
        <v/>
      </c>
      <c r="BH20" t="str">
        <f t="shared" si="155"/>
        <v/>
      </c>
      <c r="BI20" t="str">
        <f t="shared" si="155"/>
        <v/>
      </c>
      <c r="BJ20" t="str">
        <f t="shared" si="155"/>
        <v/>
      </c>
      <c r="BK20" t="str">
        <f t="shared" si="155"/>
        <v/>
      </c>
      <c r="BL20" t="str">
        <f t="shared" si="155"/>
        <v/>
      </c>
      <c r="BM20" t="str">
        <f t="shared" si="155"/>
        <v/>
      </c>
      <c r="BN20" t="str">
        <f t="shared" si="155"/>
        <v/>
      </c>
      <c r="BO20" t="str">
        <f t="shared" si="155"/>
        <v/>
      </c>
      <c r="BP20" t="str">
        <f t="shared" si="155"/>
        <v/>
      </c>
      <c r="BQ20" t="str">
        <f t="shared" si="155"/>
        <v/>
      </c>
      <c r="BR20" t="str">
        <f t="shared" si="155"/>
        <v/>
      </c>
      <c r="BS20" t="str">
        <f t="shared" si="155"/>
        <v/>
      </c>
      <c r="BT20" t="str">
        <f t="shared" si="155"/>
        <v/>
      </c>
      <c r="BU20" t="str">
        <f t="shared" si="155"/>
        <v/>
      </c>
      <c r="BV20" t="str">
        <f t="shared" si="155"/>
        <v/>
      </c>
      <c r="BW20" t="str">
        <f t="shared" si="155"/>
        <v/>
      </c>
      <c r="BX20" t="str">
        <f t="shared" si="156"/>
        <v/>
      </c>
      <c r="BY20" t="str">
        <f t="shared" si="156"/>
        <v/>
      </c>
      <c r="BZ20" t="str">
        <f t="shared" si="156"/>
        <v/>
      </c>
      <c r="CA20" t="str">
        <f t="shared" si="156"/>
        <v/>
      </c>
      <c r="CB20" t="str">
        <f t="shared" si="156"/>
        <v/>
      </c>
      <c r="CC20" t="str">
        <f t="shared" si="156"/>
        <v/>
      </c>
      <c r="CD20" t="str">
        <f t="shared" si="156"/>
        <v/>
      </c>
      <c r="CE20" t="str">
        <f t="shared" si="156"/>
        <v/>
      </c>
      <c r="CF20" t="str">
        <f t="shared" si="156"/>
        <v/>
      </c>
      <c r="CG20" t="str">
        <f t="shared" si="156"/>
        <v/>
      </c>
      <c r="CH20" t="str">
        <f t="shared" si="156"/>
        <v/>
      </c>
      <c r="CI20" t="str">
        <f t="shared" si="156"/>
        <v/>
      </c>
      <c r="CJ20" t="str">
        <f t="shared" si="156"/>
        <v/>
      </c>
      <c r="CK20" t="str">
        <f t="shared" si="156"/>
        <v/>
      </c>
      <c r="CL20" t="str">
        <f t="shared" si="156"/>
        <v/>
      </c>
      <c r="CM20" t="str">
        <f t="shared" si="156"/>
        <v/>
      </c>
      <c r="CN20" t="str">
        <f t="shared" si="156"/>
        <v/>
      </c>
      <c r="CO20" t="str">
        <f t="shared" si="156"/>
        <v/>
      </c>
      <c r="CP20" t="str">
        <f t="shared" si="156"/>
        <v/>
      </c>
      <c r="CQ20" t="str">
        <f t="shared" si="156"/>
        <v/>
      </c>
      <c r="CR20" t="str">
        <f t="shared" si="156"/>
        <v/>
      </c>
      <c r="CS20" t="str">
        <f t="shared" si="156"/>
        <v/>
      </c>
      <c r="CT20" t="str">
        <f t="shared" si="156"/>
        <v/>
      </c>
      <c r="CU20" t="str">
        <f t="shared" si="145"/>
        <v/>
      </c>
      <c r="CV20" t="str">
        <f t="shared" si="145"/>
        <v/>
      </c>
      <c r="CW20" t="str">
        <f t="shared" si="145"/>
        <v/>
      </c>
      <c r="CX20" t="str">
        <f t="shared" si="145"/>
        <v/>
      </c>
      <c r="CY20" t="str">
        <f t="shared" si="145"/>
        <v/>
      </c>
      <c r="CZ20" t="str">
        <f t="shared" si="148"/>
        <v/>
      </c>
      <c r="DA20" t="str">
        <f t="shared" si="148"/>
        <v/>
      </c>
      <c r="DB20" t="str">
        <f t="shared" si="148"/>
        <v/>
      </c>
      <c r="DC20" t="str">
        <f t="shared" si="148"/>
        <v/>
      </c>
      <c r="DD20" t="str">
        <f t="shared" si="148"/>
        <v/>
      </c>
      <c r="DE20" t="str">
        <f t="shared" si="148"/>
        <v/>
      </c>
      <c r="DF20" t="str">
        <f t="shared" si="148"/>
        <v/>
      </c>
      <c r="DG20" t="str">
        <f t="shared" si="148"/>
        <v/>
      </c>
      <c r="DH20" t="str">
        <f t="shared" si="148"/>
        <v/>
      </c>
      <c r="DI20" t="str">
        <f t="shared" si="148"/>
        <v/>
      </c>
      <c r="DJ20" t="str">
        <f t="shared" si="148"/>
        <v/>
      </c>
      <c r="DK20" t="str">
        <f t="shared" si="148"/>
        <v/>
      </c>
      <c r="DL20" t="str">
        <f t="shared" si="148"/>
        <v/>
      </c>
      <c r="DM20" t="str">
        <f t="shared" si="148"/>
        <v/>
      </c>
      <c r="DN20" t="str">
        <f t="shared" si="148"/>
        <v/>
      </c>
      <c r="DO20" t="str">
        <f t="shared" si="148"/>
        <v/>
      </c>
      <c r="DP20" t="str">
        <f t="shared" si="148"/>
        <v/>
      </c>
      <c r="DQ20" t="str">
        <f t="shared" si="148"/>
        <v/>
      </c>
      <c r="DR20" t="str">
        <f t="shared" si="148"/>
        <v/>
      </c>
      <c r="DS20" t="str">
        <f t="shared" si="148"/>
        <v/>
      </c>
      <c r="DT20" t="str">
        <f t="shared" si="148"/>
        <v/>
      </c>
      <c r="DU20" t="str">
        <f t="shared" si="148"/>
        <v/>
      </c>
    </row>
    <row r="21" spans="1:125" outlineLevel="1">
      <c r="A21" s="13">
        <v>13</v>
      </c>
      <c r="B21" s="77" t="s">
        <v>181</v>
      </c>
      <c r="C21" s="15"/>
      <c r="D21" s="15"/>
      <c r="E21" s="15"/>
      <c r="F21" s="15"/>
      <c r="G21" s="15"/>
      <c r="H21" s="29">
        <v>0</v>
      </c>
      <c r="I21" s="15" t="s">
        <v>180</v>
      </c>
      <c r="J21" s="15" t="s">
        <v>167</v>
      </c>
      <c r="K21" s="14"/>
      <c r="L21" s="64"/>
      <c r="M21" t="str">
        <f t="shared" si="141"/>
        <v/>
      </c>
      <c r="N21" t="str">
        <f t="shared" si="141"/>
        <v/>
      </c>
      <c r="O21" t="str">
        <f t="shared" si="141"/>
        <v/>
      </c>
      <c r="P21" t="str">
        <f t="shared" si="155"/>
        <v/>
      </c>
      <c r="Q21" t="str">
        <f t="shared" si="155"/>
        <v/>
      </c>
      <c r="R21" t="str">
        <f t="shared" si="155"/>
        <v/>
      </c>
      <c r="S21" t="str">
        <f t="shared" si="155"/>
        <v/>
      </c>
      <c r="T21" t="str">
        <f t="shared" si="155"/>
        <v/>
      </c>
      <c r="U21" t="str">
        <f t="shared" si="155"/>
        <v/>
      </c>
      <c r="V21" t="str">
        <f t="shared" si="155"/>
        <v/>
      </c>
      <c r="W21" t="str">
        <f t="shared" si="155"/>
        <v/>
      </c>
      <c r="X21" t="str">
        <f t="shared" si="155"/>
        <v/>
      </c>
      <c r="Y21" t="str">
        <f t="shared" si="155"/>
        <v/>
      </c>
      <c r="Z21" t="str">
        <f t="shared" si="155"/>
        <v/>
      </c>
      <c r="AA21" t="str">
        <f t="shared" si="155"/>
        <v/>
      </c>
      <c r="AB21" t="str">
        <f t="shared" si="155"/>
        <v/>
      </c>
      <c r="AC21" t="str">
        <f t="shared" si="155"/>
        <v/>
      </c>
      <c r="AD21" t="str">
        <f t="shared" si="155"/>
        <v/>
      </c>
      <c r="AE21" t="str">
        <f t="shared" si="155"/>
        <v/>
      </c>
      <c r="AF21" t="str">
        <f t="shared" si="155"/>
        <v/>
      </c>
      <c r="AG21" t="str">
        <f t="shared" si="155"/>
        <v/>
      </c>
      <c r="AH21" t="str">
        <f t="shared" si="155"/>
        <v/>
      </c>
      <c r="AI21" t="str">
        <f t="shared" si="155"/>
        <v/>
      </c>
      <c r="AJ21" t="str">
        <f t="shared" si="155"/>
        <v/>
      </c>
      <c r="AK21" t="str">
        <f t="shared" si="155"/>
        <v/>
      </c>
      <c r="AL21" t="str">
        <f t="shared" si="155"/>
        <v/>
      </c>
      <c r="AM21" t="str">
        <f t="shared" si="155"/>
        <v/>
      </c>
      <c r="AN21" t="str">
        <f t="shared" si="155"/>
        <v/>
      </c>
      <c r="AO21" t="str">
        <f t="shared" si="155"/>
        <v/>
      </c>
      <c r="AP21" t="str">
        <f t="shared" si="155"/>
        <v/>
      </c>
      <c r="AQ21" t="str">
        <f t="shared" si="155"/>
        <v/>
      </c>
      <c r="AR21" t="str">
        <f t="shared" si="155"/>
        <v/>
      </c>
      <c r="AS21" t="str">
        <f t="shared" si="155"/>
        <v/>
      </c>
      <c r="AT21" t="str">
        <f t="shared" si="155"/>
        <v/>
      </c>
      <c r="AU21" t="str">
        <f t="shared" si="155"/>
        <v/>
      </c>
      <c r="AV21" t="str">
        <f t="shared" si="155"/>
        <v/>
      </c>
      <c r="AW21" t="str">
        <f t="shared" si="155"/>
        <v/>
      </c>
      <c r="AX21" t="str">
        <f t="shared" si="155"/>
        <v/>
      </c>
      <c r="AY21" t="str">
        <f t="shared" si="155"/>
        <v/>
      </c>
      <c r="AZ21" t="str">
        <f t="shared" si="155"/>
        <v/>
      </c>
      <c r="BA21" t="str">
        <f t="shared" si="155"/>
        <v/>
      </c>
      <c r="BB21" t="str">
        <f t="shared" si="155"/>
        <v/>
      </c>
      <c r="BC21" t="str">
        <f t="shared" si="155"/>
        <v/>
      </c>
      <c r="BD21" t="str">
        <f t="shared" si="155"/>
        <v/>
      </c>
      <c r="BE21" t="str">
        <f t="shared" si="155"/>
        <v/>
      </c>
      <c r="BF21" t="str">
        <f t="shared" si="155"/>
        <v/>
      </c>
      <c r="BG21" t="str">
        <f t="shared" si="155"/>
        <v/>
      </c>
      <c r="BH21" t="str">
        <f t="shared" si="155"/>
        <v/>
      </c>
      <c r="BI21" t="str">
        <f t="shared" si="155"/>
        <v/>
      </c>
      <c r="BJ21" t="str">
        <f t="shared" si="155"/>
        <v/>
      </c>
      <c r="BK21" t="str">
        <f t="shared" si="155"/>
        <v/>
      </c>
      <c r="BL21" t="str">
        <f t="shared" si="155"/>
        <v/>
      </c>
      <c r="BM21" t="str">
        <f t="shared" si="155"/>
        <v/>
      </c>
      <c r="BN21" t="str">
        <f t="shared" si="155"/>
        <v/>
      </c>
      <c r="BO21" t="str">
        <f t="shared" si="155"/>
        <v/>
      </c>
      <c r="BP21" t="str">
        <f t="shared" si="155"/>
        <v/>
      </c>
      <c r="BQ21" t="str">
        <f t="shared" si="155"/>
        <v/>
      </c>
      <c r="BR21" t="str">
        <f t="shared" si="155"/>
        <v/>
      </c>
      <c r="BS21" t="str">
        <f t="shared" si="155"/>
        <v/>
      </c>
      <c r="BT21" t="str">
        <f t="shared" si="155"/>
        <v/>
      </c>
      <c r="BU21" t="str">
        <f t="shared" si="155"/>
        <v/>
      </c>
      <c r="BV21" t="str">
        <f t="shared" si="155"/>
        <v/>
      </c>
      <c r="BW21" t="str">
        <f t="shared" si="155"/>
        <v/>
      </c>
      <c r="BX21" t="str">
        <f t="shared" ref="BX21:CN21" si="157">IF(BX$7&lt;=$E21,IF(BX$7&gt;=$D21,IF(((BX$7-$D21+1)/($E21-$D21+1))&lt;=$H21,$E$5,IF(BX$7&lt;$I$1,$H$5,"")),""),"")</f>
        <v/>
      </c>
      <c r="BY21" t="str">
        <f t="shared" si="157"/>
        <v/>
      </c>
      <c r="BZ21" t="str">
        <f t="shared" si="157"/>
        <v/>
      </c>
      <c r="CA21" t="str">
        <f t="shared" si="157"/>
        <v/>
      </c>
      <c r="CB21" t="str">
        <f t="shared" si="157"/>
        <v/>
      </c>
      <c r="CC21" t="str">
        <f t="shared" si="157"/>
        <v/>
      </c>
      <c r="CD21" t="str">
        <f t="shared" si="157"/>
        <v/>
      </c>
      <c r="CE21" t="str">
        <f t="shared" si="157"/>
        <v/>
      </c>
      <c r="CF21" t="str">
        <f t="shared" si="157"/>
        <v/>
      </c>
      <c r="CG21" t="str">
        <f t="shared" si="157"/>
        <v/>
      </c>
      <c r="CH21" t="str">
        <f t="shared" si="157"/>
        <v/>
      </c>
      <c r="CI21" t="str">
        <f t="shared" si="157"/>
        <v/>
      </c>
      <c r="CJ21" t="str">
        <f t="shared" si="157"/>
        <v/>
      </c>
      <c r="CK21" t="str">
        <f t="shared" si="157"/>
        <v/>
      </c>
      <c r="CL21" t="str">
        <f t="shared" si="157"/>
        <v/>
      </c>
      <c r="CM21" t="str">
        <f t="shared" si="157"/>
        <v/>
      </c>
      <c r="CN21" t="str">
        <f t="shared" si="157"/>
        <v/>
      </c>
      <c r="CO21" t="str">
        <f t="shared" ref="CO21:CT21" si="158">IF(CO$7&lt;=$E21,IF(CO$7&gt;=$D21,IF(((CO$7-$D21+1)/($E21-$D21+1))&lt;=$H21,$E$5,IF(CO$7&lt;$I$1,$H$5,"")),""),"")</f>
        <v/>
      </c>
      <c r="CP21" t="str">
        <f t="shared" si="158"/>
        <v/>
      </c>
      <c r="CQ21" t="str">
        <f t="shared" si="158"/>
        <v/>
      </c>
      <c r="CR21" t="str">
        <f t="shared" si="158"/>
        <v/>
      </c>
      <c r="CS21" t="str">
        <f t="shared" si="158"/>
        <v/>
      </c>
      <c r="CT21" t="str">
        <f t="shared" si="158"/>
        <v/>
      </c>
      <c r="CU21" t="str">
        <f t="shared" si="145"/>
        <v/>
      </c>
      <c r="CV21" t="str">
        <f t="shared" si="145"/>
        <v/>
      </c>
      <c r="CW21" t="str">
        <f t="shared" si="145"/>
        <v/>
      </c>
      <c r="CX21" t="str">
        <f t="shared" si="145"/>
        <v/>
      </c>
      <c r="CY21" t="str">
        <f t="shared" si="145"/>
        <v/>
      </c>
      <c r="CZ21" t="str">
        <f t="shared" si="148"/>
        <v/>
      </c>
      <c r="DA21" t="str">
        <f t="shared" si="148"/>
        <v/>
      </c>
      <c r="DB21" t="str">
        <f t="shared" si="148"/>
        <v/>
      </c>
      <c r="DC21" t="str">
        <f t="shared" si="148"/>
        <v/>
      </c>
      <c r="DD21" t="str">
        <f t="shared" si="148"/>
        <v/>
      </c>
      <c r="DE21" t="str">
        <f t="shared" si="148"/>
        <v/>
      </c>
      <c r="DF21" t="str">
        <f t="shared" si="148"/>
        <v/>
      </c>
      <c r="DG21" t="str">
        <f t="shared" si="148"/>
        <v/>
      </c>
      <c r="DH21" t="str">
        <f t="shared" si="148"/>
        <v/>
      </c>
      <c r="DI21" t="str">
        <f t="shared" si="148"/>
        <v/>
      </c>
      <c r="DJ21" t="str">
        <f t="shared" si="148"/>
        <v/>
      </c>
      <c r="DK21" t="str">
        <f t="shared" si="148"/>
        <v/>
      </c>
      <c r="DL21" t="str">
        <f t="shared" si="148"/>
        <v/>
      </c>
      <c r="DM21" t="str">
        <f t="shared" si="148"/>
        <v/>
      </c>
      <c r="DN21" t="str">
        <f t="shared" si="148"/>
        <v/>
      </c>
      <c r="DO21" t="str">
        <f t="shared" si="148"/>
        <v/>
      </c>
      <c r="DP21" t="str">
        <f t="shared" si="148"/>
        <v/>
      </c>
      <c r="DQ21" t="str">
        <f t="shared" si="148"/>
        <v/>
      </c>
      <c r="DR21" t="str">
        <f t="shared" si="148"/>
        <v/>
      </c>
      <c r="DS21" t="str">
        <f t="shared" si="148"/>
        <v/>
      </c>
      <c r="DT21" t="str">
        <f t="shared" si="148"/>
        <v/>
      </c>
      <c r="DU21" t="str">
        <f t="shared" si="148"/>
        <v/>
      </c>
    </row>
    <row r="22" spans="1:125" outlineLevel="1">
      <c r="A22" s="13">
        <v>14</v>
      </c>
      <c r="B22" s="76" t="s">
        <v>154</v>
      </c>
      <c r="C22" s="15"/>
      <c r="D22" s="15">
        <f>E13+1</f>
        <v>45734</v>
      </c>
      <c r="E22" s="15">
        <f>D22+5</f>
        <v>45739</v>
      </c>
      <c r="F22" s="15"/>
      <c r="G22" s="15"/>
      <c r="H22" s="29">
        <v>0</v>
      </c>
      <c r="I22" s="15" t="s">
        <v>155</v>
      </c>
      <c r="J22" s="15" t="s">
        <v>173</v>
      </c>
      <c r="K22" s="14"/>
      <c r="L22" s="64"/>
      <c r="M22" t="str">
        <f t="shared" si="141"/>
        <v/>
      </c>
      <c r="N22" t="str">
        <f t="shared" si="141"/>
        <v/>
      </c>
      <c r="O22" t="str">
        <f t="shared" si="142"/>
        <v/>
      </c>
      <c r="P22" t="str">
        <f t="shared" si="155"/>
        <v/>
      </c>
      <c r="Q22" t="str">
        <f t="shared" si="155"/>
        <v/>
      </c>
      <c r="R22" t="str">
        <f t="shared" si="155"/>
        <v/>
      </c>
      <c r="S22" t="str">
        <f t="shared" si="155"/>
        <v/>
      </c>
      <c r="T22" t="str">
        <f t="shared" si="155"/>
        <v/>
      </c>
      <c r="U22" t="str">
        <f t="shared" si="155"/>
        <v/>
      </c>
      <c r="V22" t="str">
        <f t="shared" si="155"/>
        <v/>
      </c>
      <c r="W22" t="str">
        <f t="shared" si="155"/>
        <v/>
      </c>
      <c r="X22" t="str">
        <f t="shared" si="155"/>
        <v/>
      </c>
      <c r="Y22" t="str">
        <f t="shared" si="155"/>
        <v/>
      </c>
      <c r="Z22" t="str">
        <f t="shared" si="155"/>
        <v/>
      </c>
      <c r="AA22" t="str">
        <f t="shared" si="155"/>
        <v/>
      </c>
      <c r="AB22" t="str">
        <f t="shared" si="155"/>
        <v/>
      </c>
      <c r="AC22" t="str">
        <f t="shared" si="155"/>
        <v/>
      </c>
      <c r="AD22" t="str">
        <f t="shared" si="155"/>
        <v/>
      </c>
      <c r="AE22" t="str">
        <f t="shared" si="155"/>
        <v/>
      </c>
      <c r="AF22" t="str">
        <f t="shared" si="155"/>
        <v/>
      </c>
      <c r="AG22" t="str">
        <f t="shared" si="155"/>
        <v/>
      </c>
      <c r="AH22" t="str">
        <f t="shared" si="155"/>
        <v/>
      </c>
      <c r="AI22" t="str">
        <f t="shared" si="155"/>
        <v/>
      </c>
      <c r="AJ22" t="str">
        <f t="shared" si="155"/>
        <v/>
      </c>
      <c r="AK22" t="str">
        <f t="shared" si="155"/>
        <v/>
      </c>
      <c r="AL22" t="str">
        <f t="shared" si="155"/>
        <v/>
      </c>
      <c r="AM22" t="str">
        <f t="shared" si="155"/>
        <v/>
      </c>
      <c r="AN22" t="str">
        <f t="shared" si="155"/>
        <v/>
      </c>
      <c r="AO22" t="str">
        <f t="shared" si="155"/>
        <v/>
      </c>
      <c r="AP22" t="str">
        <f t="shared" si="155"/>
        <v/>
      </c>
      <c r="AQ22" t="str">
        <f t="shared" si="155"/>
        <v/>
      </c>
      <c r="AR22" t="str">
        <f t="shared" si="155"/>
        <v/>
      </c>
      <c r="AS22" t="str">
        <f t="shared" si="155"/>
        <v/>
      </c>
      <c r="AT22" t="str">
        <f t="shared" si="155"/>
        <v/>
      </c>
      <c r="AU22" t="str">
        <f t="shared" si="155"/>
        <v/>
      </c>
      <c r="AV22" t="str">
        <f t="shared" si="155"/>
        <v/>
      </c>
      <c r="AW22" t="str">
        <f t="shared" si="155"/>
        <v/>
      </c>
      <c r="AX22" t="str">
        <f t="shared" si="155"/>
        <v/>
      </c>
      <c r="AY22" t="str">
        <f t="shared" ca="1" si="155"/>
        <v/>
      </c>
      <c r="AZ22" t="str">
        <f t="shared" ca="1" si="155"/>
        <v/>
      </c>
      <c r="BA22" t="str">
        <f t="shared" ca="1" si="155"/>
        <v/>
      </c>
      <c r="BB22" t="str">
        <f t="shared" ca="1" si="155"/>
        <v/>
      </c>
      <c r="BC22" t="str">
        <f t="shared" ca="1" si="155"/>
        <v/>
      </c>
      <c r="BD22" t="str">
        <f t="shared" ca="1" si="155"/>
        <v/>
      </c>
      <c r="BE22" t="str">
        <f t="shared" si="155"/>
        <v/>
      </c>
      <c r="BF22" t="str">
        <f t="shared" si="155"/>
        <v/>
      </c>
      <c r="BG22" t="str">
        <f t="shared" si="155"/>
        <v/>
      </c>
      <c r="BH22" t="str">
        <f t="shared" si="155"/>
        <v/>
      </c>
      <c r="BI22" t="str">
        <f t="shared" si="155"/>
        <v/>
      </c>
      <c r="BJ22" t="str">
        <f t="shared" si="155"/>
        <v/>
      </c>
      <c r="BK22" t="str">
        <f t="shared" si="155"/>
        <v/>
      </c>
      <c r="BL22" t="str">
        <f t="shared" si="155"/>
        <v/>
      </c>
      <c r="BM22" t="str">
        <f t="shared" si="155"/>
        <v/>
      </c>
      <c r="BN22" t="str">
        <f t="shared" si="155"/>
        <v/>
      </c>
      <c r="BO22" t="str">
        <f t="shared" si="155"/>
        <v/>
      </c>
      <c r="BP22" t="str">
        <f t="shared" si="155"/>
        <v/>
      </c>
      <c r="BQ22" t="str">
        <f t="shared" si="155"/>
        <v/>
      </c>
      <c r="BR22" t="str">
        <f t="shared" si="155"/>
        <v/>
      </c>
      <c r="BS22" t="str">
        <f t="shared" si="155"/>
        <v/>
      </c>
      <c r="BT22" t="str">
        <f t="shared" si="155"/>
        <v/>
      </c>
      <c r="BU22" t="str">
        <f t="shared" si="155"/>
        <v/>
      </c>
      <c r="BV22" t="str">
        <f t="shared" si="155"/>
        <v/>
      </c>
      <c r="BW22" t="str">
        <f t="shared" si="155"/>
        <v/>
      </c>
      <c r="BX22" t="str">
        <f t="shared" si="156"/>
        <v/>
      </c>
      <c r="BY22" t="str">
        <f t="shared" si="156"/>
        <v/>
      </c>
      <c r="BZ22" t="str">
        <f t="shared" si="156"/>
        <v/>
      </c>
      <c r="CA22" t="str">
        <f t="shared" si="156"/>
        <v/>
      </c>
      <c r="CB22" t="str">
        <f t="shared" si="156"/>
        <v/>
      </c>
      <c r="CC22" t="str">
        <f t="shared" si="156"/>
        <v/>
      </c>
      <c r="CD22" t="str">
        <f t="shared" si="156"/>
        <v/>
      </c>
      <c r="CE22" t="str">
        <f t="shared" si="156"/>
        <v/>
      </c>
      <c r="CF22" t="str">
        <f t="shared" si="156"/>
        <v/>
      </c>
      <c r="CG22" t="str">
        <f t="shared" si="156"/>
        <v/>
      </c>
      <c r="CH22" t="str">
        <f t="shared" si="156"/>
        <v/>
      </c>
      <c r="CI22" t="str">
        <f t="shared" si="156"/>
        <v/>
      </c>
      <c r="CJ22" t="str">
        <f t="shared" si="156"/>
        <v/>
      </c>
      <c r="CK22" t="str">
        <f t="shared" si="156"/>
        <v/>
      </c>
      <c r="CL22" t="str">
        <f t="shared" si="156"/>
        <v/>
      </c>
      <c r="CM22" t="str">
        <f t="shared" si="156"/>
        <v/>
      </c>
      <c r="CN22" t="str">
        <f t="shared" si="156"/>
        <v/>
      </c>
      <c r="CO22" t="str">
        <f t="shared" si="156"/>
        <v/>
      </c>
      <c r="CP22" t="str">
        <f t="shared" si="156"/>
        <v/>
      </c>
      <c r="CQ22" t="str">
        <f t="shared" si="156"/>
        <v/>
      </c>
      <c r="CR22" t="str">
        <f t="shared" si="156"/>
        <v/>
      </c>
      <c r="CS22" t="str">
        <f t="shared" si="156"/>
        <v/>
      </c>
      <c r="CT22" t="str">
        <f t="shared" si="156"/>
        <v/>
      </c>
      <c r="CU22" t="str">
        <f t="shared" si="145"/>
        <v/>
      </c>
      <c r="CV22" t="str">
        <f t="shared" si="145"/>
        <v/>
      </c>
      <c r="CW22" t="str">
        <f t="shared" si="145"/>
        <v/>
      </c>
      <c r="CX22" t="str">
        <f t="shared" si="145"/>
        <v/>
      </c>
      <c r="CY22" t="str">
        <f t="shared" si="145"/>
        <v/>
      </c>
      <c r="CZ22" t="str">
        <f t="shared" si="148"/>
        <v/>
      </c>
      <c r="DA22" t="str">
        <f t="shared" ca="1" si="148"/>
        <v/>
      </c>
      <c r="DB22" t="str">
        <f t="shared" si="148"/>
        <v/>
      </c>
      <c r="DC22" t="str">
        <f t="shared" si="148"/>
        <v/>
      </c>
      <c r="DD22" t="str">
        <f t="shared" si="148"/>
        <v/>
      </c>
      <c r="DE22" t="str">
        <f t="shared" si="148"/>
        <v/>
      </c>
      <c r="DF22" t="str">
        <f t="shared" si="148"/>
        <v/>
      </c>
      <c r="DG22" t="str">
        <f t="shared" si="148"/>
        <v/>
      </c>
      <c r="DH22" t="str">
        <f t="shared" si="148"/>
        <v/>
      </c>
      <c r="DI22" t="str">
        <f t="shared" si="148"/>
        <v/>
      </c>
      <c r="DJ22" t="str">
        <f t="shared" si="148"/>
        <v/>
      </c>
      <c r="DK22" t="str">
        <f t="shared" si="148"/>
        <v/>
      </c>
      <c r="DL22" t="str">
        <f t="shared" si="148"/>
        <v/>
      </c>
      <c r="DM22" t="str">
        <f t="shared" si="148"/>
        <v/>
      </c>
      <c r="DN22" t="str">
        <f t="shared" si="148"/>
        <v/>
      </c>
      <c r="DO22" t="str">
        <f t="shared" si="148"/>
        <v/>
      </c>
      <c r="DP22" t="str">
        <f t="shared" si="148"/>
        <v/>
      </c>
      <c r="DQ22" t="str">
        <f t="shared" si="148"/>
        <v/>
      </c>
      <c r="DR22" t="str">
        <f t="shared" si="148"/>
        <v/>
      </c>
      <c r="DS22" t="str">
        <f t="shared" si="148"/>
        <v/>
      </c>
      <c r="DT22" t="str">
        <f t="shared" si="148"/>
        <v/>
      </c>
      <c r="DU22" t="str">
        <f t="shared" si="148"/>
        <v/>
      </c>
    </row>
    <row r="23" spans="1:125" outlineLevel="1">
      <c r="A23" s="13">
        <v>15</v>
      </c>
      <c r="B23" s="77" t="s">
        <v>174</v>
      </c>
      <c r="C23" s="15"/>
      <c r="D23" s="15">
        <v>45734</v>
      </c>
      <c r="E23" s="15">
        <v>45739</v>
      </c>
      <c r="F23" s="15"/>
      <c r="G23" s="15"/>
      <c r="H23" s="29">
        <v>0</v>
      </c>
      <c r="I23" s="15" t="s">
        <v>155</v>
      </c>
      <c r="J23" s="15" t="s">
        <v>166</v>
      </c>
      <c r="K23" s="14"/>
      <c r="L23" s="64"/>
      <c r="M23" t="str">
        <f t="shared" ref="M23:AB24" si="159">IF(M$7&lt;=$E23,IF(M$7&gt;=$D23,IF(((M$7-$D23+1)/($E23-$D23+1))&lt;=$H23,$E$5,IF(M$7&lt;$I$1,$H$5,"")),""),"")</f>
        <v/>
      </c>
      <c r="N23" t="str">
        <f t="shared" si="159"/>
        <v/>
      </c>
      <c r="O23" t="str">
        <f t="shared" si="159"/>
        <v/>
      </c>
      <c r="P23" t="str">
        <f t="shared" si="159"/>
        <v/>
      </c>
      <c r="Q23" t="str">
        <f t="shared" si="159"/>
        <v/>
      </c>
      <c r="R23" t="str">
        <f t="shared" si="159"/>
        <v/>
      </c>
      <c r="S23" t="str">
        <f t="shared" si="159"/>
        <v/>
      </c>
      <c r="T23" t="str">
        <f t="shared" si="159"/>
        <v/>
      </c>
      <c r="U23" t="str">
        <f t="shared" si="159"/>
        <v/>
      </c>
      <c r="V23" t="str">
        <f t="shared" si="159"/>
        <v/>
      </c>
      <c r="W23" t="str">
        <f t="shared" si="159"/>
        <v/>
      </c>
      <c r="X23" t="str">
        <f t="shared" si="159"/>
        <v/>
      </c>
      <c r="Y23" t="str">
        <f t="shared" si="159"/>
        <v/>
      </c>
      <c r="Z23" t="str">
        <f t="shared" si="159"/>
        <v/>
      </c>
      <c r="AA23" t="str">
        <f t="shared" si="159"/>
        <v/>
      </c>
      <c r="AB23" t="str">
        <f t="shared" si="159"/>
        <v/>
      </c>
      <c r="AC23" t="str">
        <f t="shared" si="155"/>
        <v/>
      </c>
      <c r="AD23" t="str">
        <f t="shared" si="155"/>
        <v/>
      </c>
      <c r="AE23" t="str">
        <f t="shared" si="155"/>
        <v/>
      </c>
      <c r="AF23" t="str">
        <f t="shared" si="155"/>
        <v/>
      </c>
      <c r="AG23" t="str">
        <f t="shared" si="155"/>
        <v/>
      </c>
      <c r="AH23" t="str">
        <f t="shared" si="155"/>
        <v/>
      </c>
      <c r="AI23" t="str">
        <f t="shared" si="155"/>
        <v/>
      </c>
      <c r="AJ23" t="str">
        <f t="shared" si="155"/>
        <v/>
      </c>
      <c r="AK23" t="str">
        <f t="shared" si="155"/>
        <v/>
      </c>
      <c r="AL23" t="str">
        <f t="shared" si="155"/>
        <v/>
      </c>
      <c r="AM23" t="str">
        <f t="shared" si="155"/>
        <v/>
      </c>
      <c r="AN23" t="str">
        <f t="shared" si="155"/>
        <v/>
      </c>
      <c r="AO23" t="str">
        <f t="shared" si="155"/>
        <v/>
      </c>
      <c r="AP23" t="str">
        <f t="shared" si="155"/>
        <v/>
      </c>
      <c r="AQ23" t="str">
        <f t="shared" si="155"/>
        <v/>
      </c>
      <c r="AR23" t="str">
        <f t="shared" si="155"/>
        <v/>
      </c>
      <c r="AS23" t="str">
        <f t="shared" si="155"/>
        <v/>
      </c>
      <c r="AT23" t="str">
        <f t="shared" si="155"/>
        <v/>
      </c>
      <c r="AU23" t="str">
        <f t="shared" si="155"/>
        <v/>
      </c>
      <c r="AV23" t="str">
        <f t="shared" si="155"/>
        <v/>
      </c>
      <c r="AW23" t="str">
        <f t="shared" si="155"/>
        <v/>
      </c>
      <c r="AX23" t="str">
        <f t="shared" si="155"/>
        <v/>
      </c>
      <c r="AY23" t="str">
        <f t="shared" ca="1" si="155"/>
        <v/>
      </c>
      <c r="AZ23" t="str">
        <f t="shared" ca="1" si="155"/>
        <v/>
      </c>
      <c r="BA23" t="str">
        <f t="shared" ca="1" si="155"/>
        <v/>
      </c>
      <c r="BB23" t="str">
        <f t="shared" ca="1" si="155"/>
        <v/>
      </c>
      <c r="BC23" t="str">
        <f t="shared" ca="1" si="155"/>
        <v/>
      </c>
      <c r="BD23" t="str">
        <f t="shared" ca="1" si="155"/>
        <v/>
      </c>
      <c r="BE23" t="str">
        <f t="shared" si="155"/>
        <v/>
      </c>
      <c r="BF23" t="str">
        <f t="shared" si="155"/>
        <v/>
      </c>
      <c r="BG23" t="str">
        <f t="shared" si="155"/>
        <v/>
      </c>
      <c r="BH23" t="str">
        <f t="shared" si="155"/>
        <v/>
      </c>
      <c r="BI23" t="str">
        <f t="shared" si="155"/>
        <v/>
      </c>
      <c r="BJ23" t="str">
        <f t="shared" si="155"/>
        <v/>
      </c>
      <c r="BK23" t="str">
        <f t="shared" si="155"/>
        <v/>
      </c>
      <c r="BL23" t="str">
        <f t="shared" si="155"/>
        <v/>
      </c>
      <c r="BM23" t="str">
        <f t="shared" si="155"/>
        <v/>
      </c>
      <c r="BN23" t="str">
        <f t="shared" si="155"/>
        <v/>
      </c>
      <c r="BO23" t="str">
        <f t="shared" si="155"/>
        <v/>
      </c>
      <c r="BP23" t="str">
        <f t="shared" si="155"/>
        <v/>
      </c>
      <c r="BQ23" t="str">
        <f t="shared" si="155"/>
        <v/>
      </c>
      <c r="BR23" t="str">
        <f t="shared" si="155"/>
        <v/>
      </c>
      <c r="BS23" t="str">
        <f t="shared" si="155"/>
        <v/>
      </c>
      <c r="BT23" t="str">
        <f t="shared" si="155"/>
        <v/>
      </c>
      <c r="BU23" t="str">
        <f t="shared" si="155"/>
        <v/>
      </c>
      <c r="BV23" t="str">
        <f t="shared" si="155"/>
        <v/>
      </c>
      <c r="BW23" t="str">
        <f t="shared" si="155"/>
        <v/>
      </c>
      <c r="BX23" t="str">
        <f t="shared" ref="BX23:CN23" si="160">IF(BX$7&lt;=$E23,IF(BX$7&gt;=$D23,IF(((BX$7-$D23+1)/($E23-$D23+1))&lt;=$H23,$E$5,IF(BX$7&lt;$I$1,$H$5,"")),""),"")</f>
        <v/>
      </c>
      <c r="BY23" t="str">
        <f t="shared" si="160"/>
        <v/>
      </c>
      <c r="BZ23" t="str">
        <f t="shared" si="160"/>
        <v/>
      </c>
      <c r="CA23" t="str">
        <f t="shared" si="160"/>
        <v/>
      </c>
      <c r="CB23" t="str">
        <f t="shared" si="160"/>
        <v/>
      </c>
      <c r="CC23" t="str">
        <f t="shared" si="160"/>
        <v/>
      </c>
      <c r="CD23" t="str">
        <f t="shared" si="160"/>
        <v/>
      </c>
      <c r="CE23" t="str">
        <f t="shared" si="160"/>
        <v/>
      </c>
      <c r="CF23" t="str">
        <f t="shared" si="160"/>
        <v/>
      </c>
      <c r="CG23" t="str">
        <f t="shared" si="160"/>
        <v/>
      </c>
      <c r="CH23" t="str">
        <f t="shared" si="160"/>
        <v/>
      </c>
      <c r="CI23" t="str">
        <f t="shared" si="160"/>
        <v/>
      </c>
      <c r="CJ23" t="str">
        <f t="shared" si="160"/>
        <v/>
      </c>
      <c r="CK23" t="str">
        <f t="shared" si="160"/>
        <v/>
      </c>
      <c r="CL23" t="str">
        <f t="shared" si="160"/>
        <v/>
      </c>
      <c r="CM23" t="str">
        <f t="shared" si="160"/>
        <v/>
      </c>
      <c r="CN23" t="str">
        <f t="shared" si="160"/>
        <v/>
      </c>
      <c r="CO23" t="str">
        <f t="shared" si="156"/>
        <v/>
      </c>
      <c r="CP23" t="str">
        <f t="shared" si="156"/>
        <v/>
      </c>
      <c r="CQ23" t="str">
        <f t="shared" si="156"/>
        <v/>
      </c>
      <c r="CR23" t="str">
        <f t="shared" si="156"/>
        <v/>
      </c>
      <c r="CS23" t="str">
        <f t="shared" si="156"/>
        <v/>
      </c>
      <c r="CT23" t="str">
        <f t="shared" si="156"/>
        <v/>
      </c>
      <c r="CU23" t="str">
        <f t="shared" ref="CU23:DJ24" si="161">IF(AND(CU$7&lt;=$E23,CU$7+6&gt;=$D23),IF((((IF(CU$7&gt;$D23,CU$7-$D23+1,1))+(IF(AND($I$1&gt;CU$7,$I$1&lt;=CU$7+6),IF(CU$7&gt;$I$1,$I$1-CU$7,0),0)))/($E23-$D23+1))&lt;=$H23,$E$5,IF(CU$7&lt;$I$1,$H$5,"")),"")</f>
        <v/>
      </c>
      <c r="CV23" t="str">
        <f t="shared" si="161"/>
        <v/>
      </c>
      <c r="CW23" t="str">
        <f t="shared" si="161"/>
        <v/>
      </c>
      <c r="CX23" t="str">
        <f t="shared" si="161"/>
        <v/>
      </c>
      <c r="CY23" t="str">
        <f t="shared" si="161"/>
        <v/>
      </c>
      <c r="CZ23" t="str">
        <f t="shared" si="161"/>
        <v/>
      </c>
      <c r="DA23" t="str">
        <f t="shared" ca="1" si="161"/>
        <v/>
      </c>
      <c r="DB23" t="str">
        <f t="shared" si="161"/>
        <v/>
      </c>
      <c r="DC23" t="str">
        <f t="shared" si="161"/>
        <v/>
      </c>
      <c r="DD23" t="str">
        <f t="shared" si="161"/>
        <v/>
      </c>
      <c r="DE23" t="str">
        <f t="shared" si="161"/>
        <v/>
      </c>
      <c r="DF23" t="str">
        <f t="shared" si="161"/>
        <v/>
      </c>
      <c r="DG23" t="str">
        <f t="shared" si="161"/>
        <v/>
      </c>
      <c r="DH23" t="str">
        <f t="shared" si="161"/>
        <v/>
      </c>
      <c r="DI23" t="str">
        <f t="shared" si="161"/>
        <v/>
      </c>
      <c r="DJ23" t="str">
        <f t="shared" si="161"/>
        <v/>
      </c>
      <c r="DK23" t="str">
        <f t="shared" si="148"/>
        <v/>
      </c>
      <c r="DL23" t="str">
        <f t="shared" si="148"/>
        <v/>
      </c>
      <c r="DM23" t="str">
        <f t="shared" ref="CZ23:DU36" si="162">IF(AND(DM$7&lt;=$E23,DM$7+6&gt;=$D23),IF((((IF(DM$7&gt;$D23,DM$7-$D23+1,1))+(IF(AND($I$1&gt;DM$7,$I$1&lt;=DM$7+6),IF(DM$7&gt;$I$1,$I$1-DM$7,0),0)))/($E23-$D23+1))&lt;=$H23,$E$5,IF(DM$7&lt;$I$1,$H$5,"")),"")</f>
        <v/>
      </c>
      <c r="DN23" t="str">
        <f t="shared" si="162"/>
        <v/>
      </c>
      <c r="DO23" t="str">
        <f t="shared" si="162"/>
        <v/>
      </c>
      <c r="DP23" t="str">
        <f t="shared" si="162"/>
        <v/>
      </c>
      <c r="DQ23" t="str">
        <f t="shared" si="162"/>
        <v/>
      </c>
      <c r="DR23" t="str">
        <f t="shared" si="162"/>
        <v/>
      </c>
      <c r="DS23" t="str">
        <f t="shared" si="162"/>
        <v/>
      </c>
      <c r="DT23" t="str">
        <f t="shared" si="162"/>
        <v/>
      </c>
      <c r="DU23" t="str">
        <f t="shared" si="162"/>
        <v/>
      </c>
    </row>
    <row r="24" spans="1:125" outlineLevel="1">
      <c r="A24" s="78">
        <v>16</v>
      </c>
      <c r="B24" s="77" t="s">
        <v>187</v>
      </c>
      <c r="C24" s="15"/>
      <c r="D24" s="15">
        <f>D23</f>
        <v>45734</v>
      </c>
      <c r="E24" s="15">
        <v>45739</v>
      </c>
      <c r="F24" s="15"/>
      <c r="G24" s="15"/>
      <c r="H24" s="29">
        <v>0</v>
      </c>
      <c r="I24" s="15" t="s">
        <v>155</v>
      </c>
      <c r="J24" s="15" t="s">
        <v>173</v>
      </c>
      <c r="K24" s="14"/>
      <c r="L24" s="64"/>
      <c r="M24" t="str">
        <f t="shared" si="159"/>
        <v/>
      </c>
      <c r="N24" t="str">
        <f t="shared" si="159"/>
        <v/>
      </c>
      <c r="O24" t="str">
        <f t="shared" si="159"/>
        <v/>
      </c>
      <c r="P24" t="str">
        <f t="shared" si="155"/>
        <v/>
      </c>
      <c r="Q24" t="str">
        <f t="shared" si="155"/>
        <v/>
      </c>
      <c r="R24" t="str">
        <f t="shared" si="155"/>
        <v/>
      </c>
      <c r="S24" t="str">
        <f t="shared" si="155"/>
        <v/>
      </c>
      <c r="T24" t="str">
        <f t="shared" si="155"/>
        <v/>
      </c>
      <c r="U24" t="str">
        <f t="shared" si="155"/>
        <v/>
      </c>
      <c r="V24" t="str">
        <f t="shared" si="155"/>
        <v/>
      </c>
      <c r="W24" t="str">
        <f t="shared" si="155"/>
        <v/>
      </c>
      <c r="X24" t="str">
        <f t="shared" si="155"/>
        <v/>
      </c>
      <c r="Y24" t="str">
        <f t="shared" si="155"/>
        <v/>
      </c>
      <c r="Z24" t="str">
        <f t="shared" si="155"/>
        <v/>
      </c>
      <c r="AA24" t="str">
        <f t="shared" ref="AA24:BW24" si="163">IF(AA$7&lt;=$E24,IF(AA$7&gt;=$D24,IF(((AA$7-$D24+1)/($E24-$D24+1))&lt;=$H24,$E$5,IF(AA$7&lt;$I$1,$H$5,"")),""),"")</f>
        <v/>
      </c>
      <c r="AB24" t="str">
        <f t="shared" si="163"/>
        <v/>
      </c>
      <c r="AC24" t="str">
        <f t="shared" si="163"/>
        <v/>
      </c>
      <c r="AD24" t="str">
        <f t="shared" si="163"/>
        <v/>
      </c>
      <c r="AE24" t="str">
        <f t="shared" si="163"/>
        <v/>
      </c>
      <c r="AF24" t="str">
        <f t="shared" si="163"/>
        <v/>
      </c>
      <c r="AG24" t="str">
        <f t="shared" si="163"/>
        <v/>
      </c>
      <c r="AH24" t="str">
        <f t="shared" si="163"/>
        <v/>
      </c>
      <c r="AI24" t="str">
        <f t="shared" si="163"/>
        <v/>
      </c>
      <c r="AJ24" t="str">
        <f t="shared" si="163"/>
        <v/>
      </c>
      <c r="AK24" t="str">
        <f t="shared" si="163"/>
        <v/>
      </c>
      <c r="AL24" t="str">
        <f t="shared" si="163"/>
        <v/>
      </c>
      <c r="AM24" t="str">
        <f t="shared" si="163"/>
        <v/>
      </c>
      <c r="AN24" t="str">
        <f t="shared" si="163"/>
        <v/>
      </c>
      <c r="AO24" t="str">
        <f t="shared" si="163"/>
        <v/>
      </c>
      <c r="AP24" t="str">
        <f t="shared" si="163"/>
        <v/>
      </c>
      <c r="AQ24" t="str">
        <f t="shared" si="163"/>
        <v/>
      </c>
      <c r="AR24" t="str">
        <f t="shared" si="163"/>
        <v/>
      </c>
      <c r="AS24" t="str">
        <f t="shared" si="163"/>
        <v/>
      </c>
      <c r="AT24" t="str">
        <f t="shared" si="163"/>
        <v/>
      </c>
      <c r="AU24" t="str">
        <f t="shared" si="163"/>
        <v/>
      </c>
      <c r="AV24" t="str">
        <f t="shared" si="163"/>
        <v/>
      </c>
      <c r="AW24" t="str">
        <f t="shared" si="163"/>
        <v/>
      </c>
      <c r="AX24" t="str">
        <f t="shared" si="163"/>
        <v/>
      </c>
      <c r="AY24" t="str">
        <f t="shared" ca="1" si="163"/>
        <v/>
      </c>
      <c r="AZ24" t="str">
        <f t="shared" ca="1" si="163"/>
        <v/>
      </c>
      <c r="BA24" t="str">
        <f t="shared" ca="1" si="163"/>
        <v/>
      </c>
      <c r="BB24" t="str">
        <f t="shared" ca="1" si="163"/>
        <v/>
      </c>
      <c r="BC24" t="str">
        <f t="shared" ca="1" si="163"/>
        <v/>
      </c>
      <c r="BD24" t="str">
        <f t="shared" ca="1" si="163"/>
        <v/>
      </c>
      <c r="BE24" t="str">
        <f t="shared" si="163"/>
        <v/>
      </c>
      <c r="BF24" t="str">
        <f t="shared" si="163"/>
        <v/>
      </c>
      <c r="BG24" t="str">
        <f t="shared" si="163"/>
        <v/>
      </c>
      <c r="BH24" t="str">
        <f t="shared" si="163"/>
        <v/>
      </c>
      <c r="BI24" t="str">
        <f t="shared" si="163"/>
        <v/>
      </c>
      <c r="BJ24" t="str">
        <f t="shared" si="163"/>
        <v/>
      </c>
      <c r="BK24" t="str">
        <f t="shared" si="163"/>
        <v/>
      </c>
      <c r="BL24" t="str">
        <f t="shared" si="163"/>
        <v/>
      </c>
      <c r="BM24" t="str">
        <f t="shared" si="163"/>
        <v/>
      </c>
      <c r="BN24" t="str">
        <f t="shared" si="163"/>
        <v/>
      </c>
      <c r="BO24" t="str">
        <f t="shared" si="163"/>
        <v/>
      </c>
      <c r="BP24" t="str">
        <f t="shared" si="163"/>
        <v/>
      </c>
      <c r="BQ24" t="str">
        <f t="shared" si="163"/>
        <v/>
      </c>
      <c r="BR24" t="str">
        <f t="shared" si="163"/>
        <v/>
      </c>
      <c r="BS24" t="str">
        <f t="shared" si="163"/>
        <v/>
      </c>
      <c r="BT24" t="str">
        <f t="shared" si="163"/>
        <v/>
      </c>
      <c r="BU24" t="str">
        <f t="shared" si="163"/>
        <v/>
      </c>
      <c r="BV24" t="str">
        <f t="shared" si="163"/>
        <v/>
      </c>
      <c r="BW24" t="str">
        <f t="shared" si="163"/>
        <v/>
      </c>
      <c r="BX24" t="str">
        <f t="shared" ref="BX24:CT25" si="164">IF(BX$7&lt;=$E24,IF(BX$7&gt;=$D24,IF(((BX$7-$D24+1)/($E24-$D24+1))&lt;=$H24,$E$5,IF(BX$7&lt;$I$1,$H$5,"")),""),"")</f>
        <v/>
      </c>
      <c r="BY24" t="str">
        <f t="shared" si="164"/>
        <v/>
      </c>
      <c r="BZ24" t="str">
        <f t="shared" si="164"/>
        <v/>
      </c>
      <c r="CA24" t="str">
        <f t="shared" si="164"/>
        <v/>
      </c>
      <c r="CB24" t="str">
        <f t="shared" si="164"/>
        <v/>
      </c>
      <c r="CC24" t="str">
        <f t="shared" si="164"/>
        <v/>
      </c>
      <c r="CD24" t="str">
        <f t="shared" si="164"/>
        <v/>
      </c>
      <c r="CE24" t="str">
        <f t="shared" si="164"/>
        <v/>
      </c>
      <c r="CF24" t="str">
        <f t="shared" si="164"/>
        <v/>
      </c>
      <c r="CG24" t="str">
        <f t="shared" si="164"/>
        <v/>
      </c>
      <c r="CH24" t="str">
        <f t="shared" si="164"/>
        <v/>
      </c>
      <c r="CI24" t="str">
        <f t="shared" si="164"/>
        <v/>
      </c>
      <c r="CJ24" t="str">
        <f t="shared" si="164"/>
        <v/>
      </c>
      <c r="CK24" t="str">
        <f t="shared" si="164"/>
        <v/>
      </c>
      <c r="CL24" t="str">
        <f t="shared" si="164"/>
        <v/>
      </c>
      <c r="CM24" t="str">
        <f t="shared" si="164"/>
        <v/>
      </c>
      <c r="CN24" t="str">
        <f t="shared" si="164"/>
        <v/>
      </c>
      <c r="CO24" t="str">
        <f t="shared" si="164"/>
        <v/>
      </c>
      <c r="CP24" t="str">
        <f t="shared" si="164"/>
        <v/>
      </c>
      <c r="CQ24" t="str">
        <f t="shared" si="164"/>
        <v/>
      </c>
      <c r="CR24" t="str">
        <f t="shared" si="164"/>
        <v/>
      </c>
      <c r="CS24" t="str">
        <f t="shared" si="164"/>
        <v/>
      </c>
      <c r="CT24" t="str">
        <f t="shared" si="164"/>
        <v/>
      </c>
      <c r="CU24" t="str">
        <f t="shared" si="161"/>
        <v/>
      </c>
      <c r="CV24" t="str">
        <f t="shared" si="161"/>
        <v/>
      </c>
      <c r="CW24" t="str">
        <f t="shared" si="161"/>
        <v/>
      </c>
      <c r="CX24" t="str">
        <f t="shared" si="161"/>
        <v/>
      </c>
      <c r="CY24" t="str">
        <f t="shared" si="161"/>
        <v/>
      </c>
      <c r="CZ24" t="str">
        <f t="shared" si="162"/>
        <v/>
      </c>
      <c r="DA24" t="str">
        <f t="shared" ca="1" si="162"/>
        <v/>
      </c>
      <c r="DB24" t="str">
        <f t="shared" si="162"/>
        <v/>
      </c>
      <c r="DC24" t="str">
        <f t="shared" si="162"/>
        <v/>
      </c>
      <c r="DD24" t="str">
        <f t="shared" si="162"/>
        <v/>
      </c>
      <c r="DE24" t="str">
        <f t="shared" si="162"/>
        <v/>
      </c>
      <c r="DF24" t="str">
        <f t="shared" si="162"/>
        <v/>
      </c>
      <c r="DG24" t="str">
        <f t="shared" si="162"/>
        <v/>
      </c>
      <c r="DH24" t="str">
        <f t="shared" si="162"/>
        <v/>
      </c>
      <c r="DI24" t="str">
        <f t="shared" si="162"/>
        <v/>
      </c>
      <c r="DJ24" t="str">
        <f t="shared" si="162"/>
        <v/>
      </c>
      <c r="DK24" t="str">
        <f t="shared" si="162"/>
        <v/>
      </c>
      <c r="DL24" t="str">
        <f t="shared" si="162"/>
        <v/>
      </c>
      <c r="DM24" t="str">
        <f t="shared" si="162"/>
        <v/>
      </c>
      <c r="DN24" t="str">
        <f t="shared" si="162"/>
        <v/>
      </c>
      <c r="DO24" t="str">
        <f t="shared" si="162"/>
        <v/>
      </c>
      <c r="DP24" t="str">
        <f t="shared" si="162"/>
        <v/>
      </c>
      <c r="DQ24" t="str">
        <f t="shared" si="162"/>
        <v/>
      </c>
      <c r="DR24" t="str">
        <f t="shared" si="162"/>
        <v/>
      </c>
      <c r="DS24" t="str">
        <f t="shared" si="162"/>
        <v/>
      </c>
      <c r="DT24" t="str">
        <f t="shared" si="162"/>
        <v/>
      </c>
      <c r="DU24" t="str">
        <f t="shared" si="162"/>
        <v/>
      </c>
    </row>
    <row r="25" spans="1:125" s="83" customFormat="1">
      <c r="A25" s="13">
        <v>17</v>
      </c>
      <c r="B25" s="90" t="s">
        <v>163</v>
      </c>
      <c r="C25" s="79"/>
      <c r="D25" s="79">
        <f>E12</f>
        <v>45739</v>
      </c>
      <c r="E25" s="79">
        <f>D25+21</f>
        <v>45760</v>
      </c>
      <c r="F25" s="79"/>
      <c r="G25" s="79"/>
      <c r="H25" s="80">
        <v>0</v>
      </c>
      <c r="I25" s="79" t="s">
        <v>155</v>
      </c>
      <c r="J25" s="15" t="s">
        <v>173</v>
      </c>
      <c r="K25" s="81"/>
      <c r="L25" s="82"/>
      <c r="M25" s="83" t="str">
        <f t="shared" si="141"/>
        <v/>
      </c>
      <c r="N25" s="83" t="str">
        <f t="shared" si="141"/>
        <v/>
      </c>
      <c r="O25" s="83" t="str">
        <f t="shared" si="141"/>
        <v/>
      </c>
      <c r="P25" s="83" t="str">
        <f t="shared" ref="P25:BW29" si="165">IF(P$7&lt;=$E25,IF(P$7&gt;=$D25,IF(((P$7-$D25+1)/($E25-$D25+1))&lt;=$H25,$E$5,IF(P$7&lt;$I$1,$H$5,"")),""),"")</f>
        <v/>
      </c>
      <c r="Q25" s="83" t="str">
        <f t="shared" si="165"/>
        <v/>
      </c>
      <c r="R25" s="83" t="str">
        <f t="shared" si="165"/>
        <v/>
      </c>
      <c r="S25" s="83" t="str">
        <f t="shared" si="165"/>
        <v/>
      </c>
      <c r="T25" s="83" t="str">
        <f t="shared" si="165"/>
        <v/>
      </c>
      <c r="U25" s="83" t="str">
        <f t="shared" si="165"/>
        <v/>
      </c>
      <c r="V25" s="83" t="str">
        <f t="shared" si="165"/>
        <v/>
      </c>
      <c r="W25" s="83" t="str">
        <f t="shared" si="165"/>
        <v/>
      </c>
      <c r="X25" s="83" t="str">
        <f t="shared" si="165"/>
        <v/>
      </c>
      <c r="Y25" s="83" t="str">
        <f t="shared" si="165"/>
        <v/>
      </c>
      <c r="Z25" s="83" t="str">
        <f t="shared" si="165"/>
        <v/>
      </c>
      <c r="AA25" s="83" t="str">
        <f t="shared" si="165"/>
        <v/>
      </c>
      <c r="AB25" s="83" t="str">
        <f t="shared" si="165"/>
        <v/>
      </c>
      <c r="AC25" s="83" t="str">
        <f t="shared" si="165"/>
        <v/>
      </c>
      <c r="AD25" s="83" t="str">
        <f t="shared" si="165"/>
        <v/>
      </c>
      <c r="AE25" s="83" t="str">
        <f t="shared" si="165"/>
        <v/>
      </c>
      <c r="AF25" s="83" t="str">
        <f t="shared" si="165"/>
        <v/>
      </c>
      <c r="AG25" s="83" t="str">
        <f t="shared" si="165"/>
        <v/>
      </c>
      <c r="AH25" s="83" t="str">
        <f t="shared" si="165"/>
        <v/>
      </c>
      <c r="AI25" s="83" t="str">
        <f t="shared" si="165"/>
        <v/>
      </c>
      <c r="AJ25" s="83" t="str">
        <f t="shared" si="165"/>
        <v/>
      </c>
      <c r="AK25" s="83" t="str">
        <f t="shared" si="165"/>
        <v/>
      </c>
      <c r="AL25" s="83" t="str">
        <f t="shared" si="165"/>
        <v/>
      </c>
      <c r="AM25" s="83" t="str">
        <f t="shared" si="165"/>
        <v/>
      </c>
      <c r="AN25" s="83" t="str">
        <f t="shared" si="165"/>
        <v/>
      </c>
      <c r="AO25" s="83" t="str">
        <f t="shared" si="165"/>
        <v/>
      </c>
      <c r="AP25" s="83" t="str">
        <f t="shared" si="165"/>
        <v/>
      </c>
      <c r="AQ25" s="83" t="str">
        <f t="shared" si="165"/>
        <v/>
      </c>
      <c r="AR25" s="83" t="str">
        <f t="shared" si="165"/>
        <v/>
      </c>
      <c r="AS25" s="83" t="str">
        <f t="shared" si="165"/>
        <v/>
      </c>
      <c r="AT25" s="83" t="str">
        <f t="shared" si="165"/>
        <v/>
      </c>
      <c r="AU25" s="83" t="str">
        <f t="shared" si="165"/>
        <v/>
      </c>
      <c r="AV25" s="83" t="str">
        <f t="shared" si="165"/>
        <v/>
      </c>
      <c r="AW25" s="83" t="str">
        <f t="shared" si="165"/>
        <v/>
      </c>
      <c r="AX25" s="83" t="str">
        <f t="shared" si="165"/>
        <v/>
      </c>
      <c r="AY25" s="83" t="str">
        <f t="shared" si="165"/>
        <v/>
      </c>
      <c r="AZ25" s="83" t="str">
        <f t="shared" si="165"/>
        <v/>
      </c>
      <c r="BA25" s="83" t="str">
        <f t="shared" si="165"/>
        <v/>
      </c>
      <c r="BB25" s="83" t="str">
        <f t="shared" si="165"/>
        <v/>
      </c>
      <c r="BC25" s="83" t="str">
        <f t="shared" si="165"/>
        <v/>
      </c>
      <c r="BD25" s="83" t="str">
        <f t="shared" ca="1" si="165"/>
        <v/>
      </c>
      <c r="BE25" s="83" t="str">
        <f t="shared" ca="1" si="165"/>
        <v/>
      </c>
      <c r="BF25" s="83" t="str">
        <f t="shared" ca="1" si="165"/>
        <v/>
      </c>
      <c r="BG25" s="83" t="str">
        <f t="shared" ca="1" si="165"/>
        <v/>
      </c>
      <c r="BH25" s="83" t="str">
        <f t="shared" ca="1" si="165"/>
        <v/>
      </c>
      <c r="BI25" s="83" t="str">
        <f t="shared" ca="1" si="165"/>
        <v/>
      </c>
      <c r="BJ25" s="83" t="str">
        <f t="shared" ca="1" si="165"/>
        <v/>
      </c>
      <c r="BK25" s="83" t="str">
        <f t="shared" ca="1" si="165"/>
        <v/>
      </c>
      <c r="BL25" s="83" t="str">
        <f t="shared" ca="1" si="165"/>
        <v/>
      </c>
      <c r="BM25" s="83" t="str">
        <f t="shared" ca="1" si="165"/>
        <v/>
      </c>
      <c r="BN25" s="83" t="str">
        <f t="shared" ca="1" si="165"/>
        <v/>
      </c>
      <c r="BO25" s="83" t="str">
        <f t="shared" ca="1" si="165"/>
        <v/>
      </c>
      <c r="BP25" s="83" t="str">
        <f t="shared" ca="1" si="165"/>
        <v/>
      </c>
      <c r="BQ25" s="83" t="str">
        <f t="shared" ca="1" si="165"/>
        <v/>
      </c>
      <c r="BR25" s="83" t="str">
        <f t="shared" ca="1" si="165"/>
        <v/>
      </c>
      <c r="BS25" s="83" t="str">
        <f t="shared" ca="1" si="165"/>
        <v/>
      </c>
      <c r="BT25" s="83" t="str">
        <f t="shared" ca="1" si="165"/>
        <v/>
      </c>
      <c r="BU25" s="83" t="str">
        <f t="shared" ca="1" si="165"/>
        <v/>
      </c>
      <c r="BV25" s="83" t="str">
        <f t="shared" ca="1" si="165"/>
        <v/>
      </c>
      <c r="BW25" s="83" t="str">
        <f t="shared" ca="1" si="165"/>
        <v/>
      </c>
      <c r="BX25" s="83" t="str">
        <f t="shared" ref="BX25:CN25" ca="1" si="166">IF(BX$7&lt;=$E25,IF(BX$7&gt;=$D25,IF(((BX$7-$D25+1)/($E25-$D25+1))&lt;=$H25,$E$5,IF(BX$7&lt;$I$1,$H$5,"")),""),"")</f>
        <v/>
      </c>
      <c r="BY25" s="83" t="str">
        <f t="shared" ca="1" si="166"/>
        <v/>
      </c>
      <c r="BZ25" s="83" t="str">
        <f t="shared" si="166"/>
        <v/>
      </c>
      <c r="CA25" s="83" t="str">
        <f t="shared" si="166"/>
        <v/>
      </c>
      <c r="CB25" s="83" t="str">
        <f t="shared" si="166"/>
        <v/>
      </c>
      <c r="CC25" s="83" t="str">
        <f t="shared" si="166"/>
        <v/>
      </c>
      <c r="CD25" s="83" t="str">
        <f t="shared" si="166"/>
        <v/>
      </c>
      <c r="CE25" s="83" t="str">
        <f t="shared" si="166"/>
        <v/>
      </c>
      <c r="CF25" s="83" t="str">
        <f t="shared" si="166"/>
        <v/>
      </c>
      <c r="CG25" s="83" t="str">
        <f t="shared" si="166"/>
        <v/>
      </c>
      <c r="CH25" s="83" t="str">
        <f t="shared" si="166"/>
        <v/>
      </c>
      <c r="CI25" s="83" t="str">
        <f t="shared" si="166"/>
        <v/>
      </c>
      <c r="CJ25" s="83" t="str">
        <f t="shared" si="166"/>
        <v/>
      </c>
      <c r="CK25" s="83" t="str">
        <f t="shared" si="166"/>
        <v/>
      </c>
      <c r="CL25" s="83" t="str">
        <f t="shared" si="166"/>
        <v/>
      </c>
      <c r="CM25" s="83" t="str">
        <f t="shared" si="166"/>
        <v/>
      </c>
      <c r="CN25" s="83" t="str">
        <f t="shared" si="166"/>
        <v/>
      </c>
      <c r="CO25" s="83" t="str">
        <f t="shared" si="164"/>
        <v/>
      </c>
      <c r="CP25" s="83" t="str">
        <f t="shared" si="164"/>
        <v/>
      </c>
      <c r="CQ25" s="83" t="str">
        <f t="shared" si="164"/>
        <v/>
      </c>
      <c r="CR25" s="83" t="str">
        <f t="shared" si="164"/>
        <v/>
      </c>
      <c r="CS25" s="83" t="str">
        <f t="shared" si="164"/>
        <v/>
      </c>
      <c r="CT25" s="83" t="str">
        <f t="shared" si="164"/>
        <v/>
      </c>
      <c r="CU25" s="83" t="str">
        <f t="shared" si="145"/>
        <v/>
      </c>
      <c r="CV25" s="83" t="str">
        <f t="shared" si="145"/>
        <v/>
      </c>
      <c r="CW25" s="83" t="str">
        <f t="shared" si="145"/>
        <v/>
      </c>
      <c r="CX25" s="83" t="str">
        <f t="shared" si="145"/>
        <v/>
      </c>
      <c r="CY25" s="83" t="str">
        <f t="shared" si="145"/>
        <v/>
      </c>
      <c r="CZ25" s="83" t="str">
        <f t="shared" si="162"/>
        <v/>
      </c>
      <c r="DA25" s="83" t="str">
        <f t="shared" ca="1" si="162"/>
        <v/>
      </c>
      <c r="DB25" s="83" t="str">
        <f t="shared" ca="1" si="162"/>
        <v/>
      </c>
      <c r="DC25" s="83" t="str">
        <f t="shared" ca="1" si="162"/>
        <v/>
      </c>
      <c r="DD25" s="83" t="str">
        <f t="shared" ca="1" si="162"/>
        <v/>
      </c>
      <c r="DE25" s="83" t="str">
        <f t="shared" si="162"/>
        <v/>
      </c>
      <c r="DF25" s="83" t="str">
        <f t="shared" si="162"/>
        <v/>
      </c>
      <c r="DG25" s="83" t="str">
        <f t="shared" si="162"/>
        <v/>
      </c>
      <c r="DH25" s="83" t="str">
        <f t="shared" si="162"/>
        <v/>
      </c>
      <c r="DI25" s="83" t="str">
        <f t="shared" si="162"/>
        <v/>
      </c>
      <c r="DJ25" s="83" t="str">
        <f t="shared" si="162"/>
        <v/>
      </c>
      <c r="DK25" s="83" t="str">
        <f t="shared" si="162"/>
        <v/>
      </c>
      <c r="DL25" s="83" t="str">
        <f t="shared" si="162"/>
        <v/>
      </c>
      <c r="DM25" s="83" t="str">
        <f t="shared" si="162"/>
        <v/>
      </c>
      <c r="DN25" s="83" t="str">
        <f t="shared" si="162"/>
        <v/>
      </c>
      <c r="DO25" s="83" t="str">
        <f t="shared" si="162"/>
        <v/>
      </c>
      <c r="DP25" s="83" t="str">
        <f t="shared" si="162"/>
        <v/>
      </c>
      <c r="DQ25" s="83" t="str">
        <f t="shared" si="162"/>
        <v/>
      </c>
      <c r="DR25" s="83" t="str">
        <f t="shared" si="162"/>
        <v/>
      </c>
      <c r="DS25" s="83" t="str">
        <f t="shared" si="162"/>
        <v/>
      </c>
      <c r="DT25" s="83" t="str">
        <f t="shared" si="162"/>
        <v/>
      </c>
      <c r="DU25" s="83" t="str">
        <f t="shared" si="162"/>
        <v/>
      </c>
    </row>
    <row r="26" spans="1:125" outlineLevel="1">
      <c r="A26" s="13">
        <v>18</v>
      </c>
      <c r="B26" s="76" t="s">
        <v>164</v>
      </c>
      <c r="C26" s="15"/>
      <c r="D26" s="15">
        <v>45739</v>
      </c>
      <c r="E26" s="15">
        <v>45760</v>
      </c>
      <c r="F26" s="15"/>
      <c r="G26" s="15"/>
      <c r="H26" s="29">
        <v>0</v>
      </c>
      <c r="I26" s="15" t="s">
        <v>155</v>
      </c>
      <c r="J26" s="15" t="s">
        <v>173</v>
      </c>
      <c r="K26" s="14"/>
      <c r="L26" s="64"/>
      <c r="M26" t="str">
        <f t="shared" si="141"/>
        <v/>
      </c>
      <c r="N26" t="str">
        <f t="shared" si="141"/>
        <v/>
      </c>
      <c r="O26" t="str">
        <f t="shared" si="141"/>
        <v/>
      </c>
      <c r="P26" t="str">
        <f t="shared" si="165"/>
        <v/>
      </c>
      <c r="Q26" t="str">
        <f t="shared" si="165"/>
        <v/>
      </c>
      <c r="R26" t="str">
        <f t="shared" si="165"/>
        <v/>
      </c>
      <c r="S26" t="str">
        <f t="shared" si="165"/>
        <v/>
      </c>
      <c r="T26" t="str">
        <f t="shared" si="165"/>
        <v/>
      </c>
      <c r="U26" t="str">
        <f t="shared" si="165"/>
        <v/>
      </c>
      <c r="V26" t="str">
        <f t="shared" si="165"/>
        <v/>
      </c>
      <c r="W26" t="str">
        <f t="shared" si="165"/>
        <v/>
      </c>
      <c r="X26" t="str">
        <f t="shared" si="165"/>
        <v/>
      </c>
      <c r="Y26" t="str">
        <f t="shared" si="165"/>
        <v/>
      </c>
      <c r="Z26" t="str">
        <f t="shared" si="165"/>
        <v/>
      </c>
      <c r="AA26" t="str">
        <f t="shared" si="165"/>
        <v/>
      </c>
      <c r="AB26" t="str">
        <f t="shared" si="165"/>
        <v/>
      </c>
      <c r="AC26" t="str">
        <f t="shared" si="165"/>
        <v/>
      </c>
      <c r="AD26" t="str">
        <f t="shared" si="165"/>
        <v/>
      </c>
      <c r="AE26" t="str">
        <f t="shared" si="165"/>
        <v/>
      </c>
      <c r="AF26" t="str">
        <f t="shared" si="165"/>
        <v/>
      </c>
      <c r="AG26" t="str">
        <f t="shared" si="165"/>
        <v/>
      </c>
      <c r="AH26" t="str">
        <f t="shared" si="165"/>
        <v/>
      </c>
      <c r="AI26" t="str">
        <f t="shared" si="165"/>
        <v/>
      </c>
      <c r="AJ26" t="str">
        <f t="shared" si="165"/>
        <v/>
      </c>
      <c r="AK26" t="str">
        <f t="shared" si="165"/>
        <v/>
      </c>
      <c r="AL26" t="str">
        <f t="shared" si="165"/>
        <v/>
      </c>
      <c r="AM26" t="str">
        <f t="shared" si="165"/>
        <v/>
      </c>
      <c r="AN26" t="str">
        <f t="shared" si="165"/>
        <v/>
      </c>
      <c r="AO26" t="str">
        <f t="shared" si="165"/>
        <v/>
      </c>
      <c r="AP26" t="str">
        <f t="shared" si="165"/>
        <v/>
      </c>
      <c r="AQ26" t="str">
        <f t="shared" si="165"/>
        <v/>
      </c>
      <c r="AR26" t="str">
        <f t="shared" si="165"/>
        <v/>
      </c>
      <c r="AS26" t="str">
        <f t="shared" si="165"/>
        <v/>
      </c>
      <c r="AT26" t="str">
        <f t="shared" si="165"/>
        <v/>
      </c>
      <c r="AU26" t="str">
        <f t="shared" si="165"/>
        <v/>
      </c>
      <c r="AV26" t="str">
        <f t="shared" si="165"/>
        <v/>
      </c>
      <c r="AW26" t="str">
        <f t="shared" si="165"/>
        <v/>
      </c>
      <c r="AX26" t="str">
        <f t="shared" si="165"/>
        <v/>
      </c>
      <c r="AY26" t="str">
        <f t="shared" si="165"/>
        <v/>
      </c>
      <c r="AZ26" t="str">
        <f t="shared" si="165"/>
        <v/>
      </c>
      <c r="BA26" t="str">
        <f t="shared" si="165"/>
        <v/>
      </c>
      <c r="BB26" t="str">
        <f t="shared" si="165"/>
        <v/>
      </c>
      <c r="BC26" t="str">
        <f t="shared" si="165"/>
        <v/>
      </c>
      <c r="BD26" t="str">
        <f t="shared" ca="1" si="165"/>
        <v/>
      </c>
      <c r="BE26" t="str">
        <f t="shared" ca="1" si="165"/>
        <v/>
      </c>
      <c r="BF26" t="str">
        <f t="shared" ca="1" si="165"/>
        <v/>
      </c>
      <c r="BG26" t="str">
        <f t="shared" ca="1" si="165"/>
        <v/>
      </c>
      <c r="BH26" t="str">
        <f t="shared" ca="1" si="165"/>
        <v/>
      </c>
      <c r="BI26" t="str">
        <f t="shared" ca="1" si="165"/>
        <v/>
      </c>
      <c r="BJ26" t="str">
        <f t="shared" ca="1" si="165"/>
        <v/>
      </c>
      <c r="BK26" t="str">
        <f t="shared" ca="1" si="165"/>
        <v/>
      </c>
      <c r="BL26" t="str">
        <f t="shared" ca="1" si="165"/>
        <v/>
      </c>
      <c r="BM26" t="str">
        <f t="shared" ca="1" si="165"/>
        <v/>
      </c>
      <c r="BN26" t="str">
        <f t="shared" ca="1" si="165"/>
        <v/>
      </c>
      <c r="BO26" t="str">
        <f t="shared" ca="1" si="165"/>
        <v/>
      </c>
      <c r="BP26" t="str">
        <f t="shared" ca="1" si="165"/>
        <v/>
      </c>
      <c r="BQ26" t="str">
        <f t="shared" ca="1" si="165"/>
        <v/>
      </c>
      <c r="BR26" t="str">
        <f t="shared" ca="1" si="165"/>
        <v/>
      </c>
      <c r="BS26" t="str">
        <f t="shared" ca="1" si="165"/>
        <v/>
      </c>
      <c r="BT26" t="str">
        <f t="shared" ca="1" si="165"/>
        <v/>
      </c>
      <c r="BU26" t="str">
        <f t="shared" ca="1" si="165"/>
        <v/>
      </c>
      <c r="BV26" t="str">
        <f t="shared" ca="1" si="165"/>
        <v/>
      </c>
      <c r="BW26" t="str">
        <f t="shared" ca="1" si="165"/>
        <v/>
      </c>
      <c r="BX26" t="str">
        <f t="shared" ref="BX26:CT27" ca="1" si="167">IF(BX$7&lt;=$E26,IF(BX$7&gt;=$D26,IF(((BX$7-$D26+1)/($E26-$D26+1))&lt;=$H26,$E$5,IF(BX$7&lt;$I$1,$H$5,"")),""),"")</f>
        <v/>
      </c>
      <c r="BY26" t="str">
        <f t="shared" ca="1" si="167"/>
        <v/>
      </c>
      <c r="BZ26" t="str">
        <f t="shared" si="167"/>
        <v/>
      </c>
      <c r="CA26" t="str">
        <f t="shared" si="167"/>
        <v/>
      </c>
      <c r="CB26" t="str">
        <f t="shared" si="167"/>
        <v/>
      </c>
      <c r="CC26" t="str">
        <f t="shared" si="167"/>
        <v/>
      </c>
      <c r="CD26" t="str">
        <f t="shared" si="167"/>
        <v/>
      </c>
      <c r="CE26" t="str">
        <f t="shared" si="167"/>
        <v/>
      </c>
      <c r="CF26" t="str">
        <f t="shared" si="167"/>
        <v/>
      </c>
      <c r="CG26" t="str">
        <f t="shared" si="167"/>
        <v/>
      </c>
      <c r="CH26" t="str">
        <f t="shared" si="167"/>
        <v/>
      </c>
      <c r="CI26" t="str">
        <f t="shared" si="167"/>
        <v/>
      </c>
      <c r="CJ26" t="str">
        <f t="shared" si="167"/>
        <v/>
      </c>
      <c r="CK26" t="str">
        <f t="shared" si="167"/>
        <v/>
      </c>
      <c r="CL26" t="str">
        <f t="shared" si="167"/>
        <v/>
      </c>
      <c r="CM26" t="str">
        <f t="shared" si="167"/>
        <v/>
      </c>
      <c r="CN26" t="str">
        <f t="shared" si="167"/>
        <v/>
      </c>
      <c r="CO26" t="str">
        <f t="shared" si="167"/>
        <v/>
      </c>
      <c r="CP26" t="str">
        <f t="shared" si="167"/>
        <v/>
      </c>
      <c r="CQ26" t="str">
        <f t="shared" si="167"/>
        <v/>
      </c>
      <c r="CR26" t="str">
        <f t="shared" si="167"/>
        <v/>
      </c>
      <c r="CS26" t="str">
        <f t="shared" si="167"/>
        <v/>
      </c>
      <c r="CT26" t="str">
        <f t="shared" si="167"/>
        <v/>
      </c>
      <c r="CU26" t="str">
        <f t="shared" si="145"/>
        <v/>
      </c>
      <c r="CV26" t="str">
        <f t="shared" si="145"/>
        <v/>
      </c>
      <c r="CW26" t="str">
        <f t="shared" si="145"/>
        <v/>
      </c>
      <c r="CX26" t="str">
        <f t="shared" si="145"/>
        <v/>
      </c>
      <c r="CY26" t="str">
        <f t="shared" si="145"/>
        <v/>
      </c>
      <c r="CZ26" t="str">
        <f t="shared" si="162"/>
        <v/>
      </c>
      <c r="DA26" t="str">
        <f t="shared" ca="1" si="162"/>
        <v/>
      </c>
      <c r="DB26" t="str">
        <f t="shared" ca="1" si="162"/>
        <v/>
      </c>
      <c r="DC26" t="str">
        <f t="shared" ca="1" si="162"/>
        <v/>
      </c>
      <c r="DD26" t="str">
        <f t="shared" ca="1" si="162"/>
        <v/>
      </c>
      <c r="DE26" t="str">
        <f t="shared" si="162"/>
        <v/>
      </c>
      <c r="DF26" t="str">
        <f t="shared" si="162"/>
        <v/>
      </c>
      <c r="DG26" t="str">
        <f t="shared" si="162"/>
        <v/>
      </c>
      <c r="DH26" t="str">
        <f t="shared" si="162"/>
        <v/>
      </c>
      <c r="DI26" t="str">
        <f t="shared" si="162"/>
        <v/>
      </c>
      <c r="DJ26" t="str">
        <f t="shared" si="162"/>
        <v/>
      </c>
      <c r="DK26" t="str">
        <f t="shared" si="162"/>
        <v/>
      </c>
      <c r="DL26" t="str">
        <f t="shared" si="162"/>
        <v/>
      </c>
      <c r="DM26" t="str">
        <f t="shared" si="162"/>
        <v/>
      </c>
      <c r="DN26" t="str">
        <f t="shared" si="162"/>
        <v/>
      </c>
      <c r="DO26" t="str">
        <f t="shared" si="162"/>
        <v/>
      </c>
      <c r="DP26" t="str">
        <f t="shared" si="162"/>
        <v/>
      </c>
      <c r="DQ26" t="str">
        <f t="shared" si="162"/>
        <v/>
      </c>
      <c r="DR26" t="str">
        <f t="shared" si="162"/>
        <v/>
      </c>
      <c r="DS26" t="str">
        <f t="shared" si="162"/>
        <v/>
      </c>
      <c r="DT26" t="str">
        <f t="shared" si="162"/>
        <v/>
      </c>
      <c r="DU26" t="str">
        <f t="shared" si="162"/>
        <v/>
      </c>
    </row>
    <row r="27" spans="1:125" outlineLevel="1">
      <c r="A27" s="13">
        <v>19</v>
      </c>
      <c r="B27" s="76" t="s">
        <v>154</v>
      </c>
      <c r="C27" s="15"/>
      <c r="D27" s="15">
        <v>45739</v>
      </c>
      <c r="E27" s="15">
        <v>45760</v>
      </c>
      <c r="F27" s="15"/>
      <c r="G27" s="15"/>
      <c r="H27" s="29">
        <v>0</v>
      </c>
      <c r="I27" s="15" t="s">
        <v>155</v>
      </c>
      <c r="J27" s="15" t="s">
        <v>173</v>
      </c>
      <c r="K27" s="14"/>
      <c r="L27" s="64"/>
      <c r="M27" t="str">
        <f t="shared" ref="M27:AB28" si="168">IF(M$7&lt;=$E27,IF(M$7&gt;=$D27,IF(((M$7-$D27+1)/($E27-$D27+1))&lt;=$H27,$E$5,IF(M$7&lt;$I$1,$H$5,"")),""),"")</f>
        <v/>
      </c>
      <c r="N27" t="str">
        <f t="shared" si="168"/>
        <v/>
      </c>
      <c r="O27" t="str">
        <f t="shared" si="168"/>
        <v/>
      </c>
      <c r="P27" t="str">
        <f t="shared" si="168"/>
        <v/>
      </c>
      <c r="Q27" t="str">
        <f t="shared" si="168"/>
        <v/>
      </c>
      <c r="R27" t="str">
        <f t="shared" si="168"/>
        <v/>
      </c>
      <c r="S27" t="str">
        <f t="shared" si="168"/>
        <v/>
      </c>
      <c r="T27" t="str">
        <f t="shared" si="168"/>
        <v/>
      </c>
      <c r="U27" t="str">
        <f t="shared" si="168"/>
        <v/>
      </c>
      <c r="V27" t="str">
        <f t="shared" si="168"/>
        <v/>
      </c>
      <c r="W27" t="str">
        <f t="shared" si="168"/>
        <v/>
      </c>
      <c r="X27" t="str">
        <f t="shared" si="168"/>
        <v/>
      </c>
      <c r="Y27" t="str">
        <f t="shared" si="168"/>
        <v/>
      </c>
      <c r="Z27" t="str">
        <f t="shared" si="168"/>
        <v/>
      </c>
      <c r="AA27" t="str">
        <f t="shared" si="168"/>
        <v/>
      </c>
      <c r="AB27" t="str">
        <f t="shared" si="168"/>
        <v/>
      </c>
      <c r="AC27" t="str">
        <f t="shared" si="165"/>
        <v/>
      </c>
      <c r="AD27" t="str">
        <f t="shared" si="165"/>
        <v/>
      </c>
      <c r="AE27" t="str">
        <f t="shared" si="165"/>
        <v/>
      </c>
      <c r="AF27" t="str">
        <f t="shared" si="165"/>
        <v/>
      </c>
      <c r="AG27" t="str">
        <f t="shared" si="165"/>
        <v/>
      </c>
      <c r="AH27" t="str">
        <f t="shared" si="165"/>
        <v/>
      </c>
      <c r="AI27" t="str">
        <f t="shared" si="165"/>
        <v/>
      </c>
      <c r="AJ27" t="str">
        <f t="shared" si="165"/>
        <v/>
      </c>
      <c r="AK27" t="str">
        <f t="shared" si="165"/>
        <v/>
      </c>
      <c r="AL27" t="str">
        <f t="shared" si="165"/>
        <v/>
      </c>
      <c r="AM27" t="str">
        <f t="shared" si="165"/>
        <v/>
      </c>
      <c r="AN27" t="str">
        <f t="shared" si="165"/>
        <v/>
      </c>
      <c r="AO27" t="str">
        <f t="shared" si="165"/>
        <v/>
      </c>
      <c r="AP27" t="str">
        <f t="shared" si="165"/>
        <v/>
      </c>
      <c r="AQ27" t="str">
        <f t="shared" si="165"/>
        <v/>
      </c>
      <c r="AR27" t="str">
        <f t="shared" si="165"/>
        <v/>
      </c>
      <c r="AS27" t="str">
        <f t="shared" si="165"/>
        <v/>
      </c>
      <c r="AT27" t="str">
        <f t="shared" si="165"/>
        <v/>
      </c>
      <c r="AU27" t="str">
        <f t="shared" si="165"/>
        <v/>
      </c>
      <c r="AV27" t="str">
        <f t="shared" si="165"/>
        <v/>
      </c>
      <c r="AW27" t="str">
        <f t="shared" si="165"/>
        <v/>
      </c>
      <c r="AX27" t="str">
        <f t="shared" si="165"/>
        <v/>
      </c>
      <c r="AY27" t="str">
        <f t="shared" si="165"/>
        <v/>
      </c>
      <c r="AZ27" t="str">
        <f t="shared" si="165"/>
        <v/>
      </c>
      <c r="BA27" t="str">
        <f t="shared" si="165"/>
        <v/>
      </c>
      <c r="BB27" t="str">
        <f t="shared" si="165"/>
        <v/>
      </c>
      <c r="BC27" t="str">
        <f t="shared" si="165"/>
        <v/>
      </c>
      <c r="BD27" t="str">
        <f t="shared" ca="1" si="165"/>
        <v/>
      </c>
      <c r="BE27" t="str">
        <f t="shared" ca="1" si="165"/>
        <v/>
      </c>
      <c r="BF27" t="str">
        <f t="shared" ca="1" si="165"/>
        <v/>
      </c>
      <c r="BG27" t="str">
        <f t="shared" ca="1" si="165"/>
        <v/>
      </c>
      <c r="BH27" t="str">
        <f t="shared" ca="1" si="165"/>
        <v/>
      </c>
      <c r="BI27" t="str">
        <f t="shared" ca="1" si="165"/>
        <v/>
      </c>
      <c r="BJ27" t="str">
        <f t="shared" ca="1" si="165"/>
        <v/>
      </c>
      <c r="BK27" t="str">
        <f t="shared" ca="1" si="165"/>
        <v/>
      </c>
      <c r="BL27" t="str">
        <f t="shared" ca="1" si="165"/>
        <v/>
      </c>
      <c r="BM27" t="str">
        <f t="shared" ca="1" si="165"/>
        <v/>
      </c>
      <c r="BN27" t="str">
        <f t="shared" ca="1" si="165"/>
        <v/>
      </c>
      <c r="BO27" t="str">
        <f t="shared" ca="1" si="165"/>
        <v/>
      </c>
      <c r="BP27" t="str">
        <f t="shared" ca="1" si="165"/>
        <v/>
      </c>
      <c r="BQ27" t="str">
        <f t="shared" ca="1" si="165"/>
        <v/>
      </c>
      <c r="BR27" t="str">
        <f t="shared" ca="1" si="165"/>
        <v/>
      </c>
      <c r="BS27" t="str">
        <f t="shared" ca="1" si="165"/>
        <v/>
      </c>
      <c r="BT27" t="str">
        <f t="shared" ca="1" si="165"/>
        <v/>
      </c>
      <c r="BU27" t="str">
        <f t="shared" ca="1" si="165"/>
        <v/>
      </c>
      <c r="BV27" t="str">
        <f t="shared" ca="1" si="165"/>
        <v/>
      </c>
      <c r="BW27" t="str">
        <f t="shared" ca="1" si="165"/>
        <v/>
      </c>
      <c r="BX27" t="str">
        <f t="shared" ref="BX27" ca="1" si="169">IF(BX$7&lt;=$E27,IF(BX$7&gt;=$D27,IF(((BX$7-$D27+1)/($E27-$D27+1))&lt;=$H27,$E$5,IF(BX$7&lt;$I$1,$H$5,"")),""),"")</f>
        <v/>
      </c>
      <c r="BY27" t="str">
        <f t="shared" ca="1" si="167"/>
        <v/>
      </c>
      <c r="BZ27" t="str">
        <f t="shared" si="167"/>
        <v/>
      </c>
      <c r="CA27" t="str">
        <f t="shared" si="167"/>
        <v/>
      </c>
      <c r="CB27" t="str">
        <f t="shared" si="167"/>
        <v/>
      </c>
      <c r="CC27" t="str">
        <f t="shared" si="167"/>
        <v/>
      </c>
      <c r="CD27" t="str">
        <f t="shared" si="167"/>
        <v/>
      </c>
      <c r="CE27" t="str">
        <f t="shared" si="167"/>
        <v/>
      </c>
      <c r="CF27" t="str">
        <f t="shared" si="167"/>
        <v/>
      </c>
      <c r="CG27" t="str">
        <f t="shared" si="167"/>
        <v/>
      </c>
      <c r="CH27" t="str">
        <f t="shared" si="167"/>
        <v/>
      </c>
      <c r="CI27" t="str">
        <f t="shared" si="167"/>
        <v/>
      </c>
      <c r="CJ27" t="str">
        <f t="shared" si="167"/>
        <v/>
      </c>
      <c r="CK27" t="str">
        <f t="shared" si="167"/>
        <v/>
      </c>
      <c r="CL27" t="str">
        <f t="shared" si="167"/>
        <v/>
      </c>
      <c r="CM27" t="str">
        <f t="shared" si="167"/>
        <v/>
      </c>
      <c r="CN27" t="str">
        <f t="shared" si="167"/>
        <v/>
      </c>
      <c r="CO27" t="str">
        <f t="shared" si="167"/>
        <v/>
      </c>
      <c r="CP27" t="str">
        <f t="shared" si="167"/>
        <v/>
      </c>
      <c r="CQ27" t="str">
        <f t="shared" si="167"/>
        <v/>
      </c>
      <c r="CR27" t="str">
        <f t="shared" si="167"/>
        <v/>
      </c>
      <c r="CS27" t="str">
        <f t="shared" si="167"/>
        <v/>
      </c>
      <c r="CT27" t="str">
        <f t="shared" si="167"/>
        <v/>
      </c>
      <c r="CU27" t="str">
        <f t="shared" ref="CU27:DJ28" si="170">IF(AND(CU$7&lt;=$E27,CU$7+6&gt;=$D27),IF((((IF(CU$7&gt;$D27,CU$7-$D27+1,1))+(IF(AND($I$1&gt;CU$7,$I$1&lt;=CU$7+6),IF(CU$7&gt;$I$1,$I$1-CU$7,0),0)))/($E27-$D27+1))&lt;=$H27,$E$5,IF(CU$7&lt;$I$1,$H$5,"")),"")</f>
        <v/>
      </c>
      <c r="CV27" t="str">
        <f t="shared" si="170"/>
        <v/>
      </c>
      <c r="CW27" t="str">
        <f t="shared" si="170"/>
        <v/>
      </c>
      <c r="CX27" t="str">
        <f t="shared" si="170"/>
        <v/>
      </c>
      <c r="CY27" t="str">
        <f t="shared" si="170"/>
        <v/>
      </c>
      <c r="CZ27" t="str">
        <f t="shared" si="170"/>
        <v/>
      </c>
      <c r="DA27" t="str">
        <f t="shared" ca="1" si="170"/>
        <v/>
      </c>
      <c r="DB27" t="str">
        <f t="shared" ca="1" si="170"/>
        <v/>
      </c>
      <c r="DC27" t="str">
        <f t="shared" ca="1" si="170"/>
        <v/>
      </c>
      <c r="DD27" t="str">
        <f t="shared" ca="1" si="170"/>
        <v/>
      </c>
      <c r="DE27" t="str">
        <f t="shared" si="170"/>
        <v/>
      </c>
      <c r="DF27" t="str">
        <f t="shared" si="170"/>
        <v/>
      </c>
      <c r="DG27" t="str">
        <f t="shared" si="170"/>
        <v/>
      </c>
      <c r="DH27" t="str">
        <f t="shared" si="170"/>
        <v/>
      </c>
      <c r="DI27" t="str">
        <f t="shared" si="170"/>
        <v/>
      </c>
      <c r="DJ27" t="str">
        <f t="shared" si="170"/>
        <v/>
      </c>
      <c r="DK27" t="str">
        <f t="shared" si="162"/>
        <v/>
      </c>
      <c r="DL27" t="str">
        <f t="shared" si="162"/>
        <v/>
      </c>
      <c r="DM27" t="str">
        <f t="shared" si="162"/>
        <v/>
      </c>
      <c r="DN27" t="str">
        <f t="shared" si="162"/>
        <v/>
      </c>
      <c r="DO27" t="str">
        <f t="shared" si="162"/>
        <v/>
      </c>
      <c r="DP27" t="str">
        <f t="shared" si="162"/>
        <v/>
      </c>
      <c r="DQ27" t="str">
        <f t="shared" si="162"/>
        <v/>
      </c>
      <c r="DR27" t="str">
        <f t="shared" si="162"/>
        <v/>
      </c>
      <c r="DS27" t="str">
        <f t="shared" si="162"/>
        <v/>
      </c>
      <c r="DT27" t="str">
        <f t="shared" si="162"/>
        <v/>
      </c>
      <c r="DU27" t="str">
        <f t="shared" si="162"/>
        <v/>
      </c>
    </row>
    <row r="28" spans="1:125" outlineLevel="1">
      <c r="A28" s="78">
        <v>20</v>
      </c>
      <c r="B28" s="77" t="s">
        <v>174</v>
      </c>
      <c r="C28" s="15"/>
      <c r="D28" s="15">
        <v>45739</v>
      </c>
      <c r="E28" s="15">
        <v>45760</v>
      </c>
      <c r="F28" s="15"/>
      <c r="G28" s="15"/>
      <c r="H28" s="29">
        <v>0</v>
      </c>
      <c r="I28" s="15" t="s">
        <v>155</v>
      </c>
      <c r="J28" s="15" t="s">
        <v>166</v>
      </c>
      <c r="K28" s="14"/>
      <c r="L28" s="64"/>
      <c r="M28" t="str">
        <f t="shared" si="168"/>
        <v/>
      </c>
      <c r="N28" t="str">
        <f t="shared" si="168"/>
        <v/>
      </c>
      <c r="O28" t="str">
        <f t="shared" si="168"/>
        <v/>
      </c>
      <c r="P28" t="str">
        <f t="shared" si="165"/>
        <v/>
      </c>
      <c r="Q28" t="str">
        <f t="shared" si="165"/>
        <v/>
      </c>
      <c r="R28" t="str">
        <f t="shared" si="165"/>
        <v/>
      </c>
      <c r="S28" t="str">
        <f t="shared" si="165"/>
        <v/>
      </c>
      <c r="T28" t="str">
        <f t="shared" si="165"/>
        <v/>
      </c>
      <c r="U28" t="str">
        <f t="shared" si="165"/>
        <v/>
      </c>
      <c r="V28" t="str">
        <f t="shared" si="165"/>
        <v/>
      </c>
      <c r="W28" t="str">
        <f t="shared" si="165"/>
        <v/>
      </c>
      <c r="X28" t="str">
        <f t="shared" si="165"/>
        <v/>
      </c>
      <c r="Y28" t="str">
        <f t="shared" si="165"/>
        <v/>
      </c>
      <c r="Z28" t="str">
        <f t="shared" si="165"/>
        <v/>
      </c>
      <c r="AA28" t="str">
        <f t="shared" si="165"/>
        <v/>
      </c>
      <c r="AB28" t="str">
        <f t="shared" si="165"/>
        <v/>
      </c>
      <c r="AC28" t="str">
        <f t="shared" si="165"/>
        <v/>
      </c>
      <c r="AD28" t="str">
        <f t="shared" si="165"/>
        <v/>
      </c>
      <c r="AE28" t="str">
        <f t="shared" si="165"/>
        <v/>
      </c>
      <c r="AF28" t="str">
        <f t="shared" si="165"/>
        <v/>
      </c>
      <c r="AG28" t="str">
        <f t="shared" si="165"/>
        <v/>
      </c>
      <c r="AH28" t="str">
        <f t="shared" si="165"/>
        <v/>
      </c>
      <c r="AI28" t="str">
        <f t="shared" si="165"/>
        <v/>
      </c>
      <c r="AJ28" t="str">
        <f t="shared" si="165"/>
        <v/>
      </c>
      <c r="AK28" t="str">
        <f t="shared" si="165"/>
        <v/>
      </c>
      <c r="AL28" t="str">
        <f t="shared" si="165"/>
        <v/>
      </c>
      <c r="AM28" t="str">
        <f t="shared" si="165"/>
        <v/>
      </c>
      <c r="AN28" t="str">
        <f t="shared" si="165"/>
        <v/>
      </c>
      <c r="AO28" t="str">
        <f t="shared" si="165"/>
        <v/>
      </c>
      <c r="AP28" t="str">
        <f t="shared" si="165"/>
        <v/>
      </c>
      <c r="AQ28" t="str">
        <f t="shared" si="165"/>
        <v/>
      </c>
      <c r="AR28" t="str">
        <f t="shared" si="165"/>
        <v/>
      </c>
      <c r="AS28" t="str">
        <f t="shared" si="165"/>
        <v/>
      </c>
      <c r="AT28" t="str">
        <f t="shared" si="165"/>
        <v/>
      </c>
      <c r="AU28" t="str">
        <f t="shared" si="165"/>
        <v/>
      </c>
      <c r="AV28" t="str">
        <f t="shared" si="165"/>
        <v/>
      </c>
      <c r="AW28" t="str">
        <f t="shared" si="165"/>
        <v/>
      </c>
      <c r="AX28" t="str">
        <f t="shared" si="165"/>
        <v/>
      </c>
      <c r="AY28" t="str">
        <f t="shared" si="165"/>
        <v/>
      </c>
      <c r="AZ28" t="str">
        <f t="shared" si="165"/>
        <v/>
      </c>
      <c r="BA28" t="str">
        <f t="shared" si="165"/>
        <v/>
      </c>
      <c r="BB28" t="str">
        <f t="shared" si="165"/>
        <v/>
      </c>
      <c r="BC28" t="str">
        <f t="shared" si="165"/>
        <v/>
      </c>
      <c r="BD28" t="str">
        <f t="shared" ca="1" si="165"/>
        <v/>
      </c>
      <c r="BE28" t="str">
        <f t="shared" ca="1" si="165"/>
        <v/>
      </c>
      <c r="BF28" t="str">
        <f t="shared" ca="1" si="165"/>
        <v/>
      </c>
      <c r="BG28" t="str">
        <f t="shared" ca="1" si="165"/>
        <v/>
      </c>
      <c r="BH28" t="str">
        <f t="shared" ca="1" si="165"/>
        <v/>
      </c>
      <c r="BI28" t="str">
        <f t="shared" ca="1" si="165"/>
        <v/>
      </c>
      <c r="BJ28" t="str">
        <f t="shared" ca="1" si="165"/>
        <v/>
      </c>
      <c r="BK28" t="str">
        <f t="shared" ca="1" si="165"/>
        <v/>
      </c>
      <c r="BL28" t="str">
        <f t="shared" ca="1" si="165"/>
        <v/>
      </c>
      <c r="BM28" t="str">
        <f t="shared" ca="1" si="165"/>
        <v/>
      </c>
      <c r="BN28" t="str">
        <f t="shared" ca="1" si="165"/>
        <v/>
      </c>
      <c r="BO28" t="str">
        <f t="shared" ca="1" si="165"/>
        <v/>
      </c>
      <c r="BP28" t="str">
        <f t="shared" ca="1" si="165"/>
        <v/>
      </c>
      <c r="BQ28" t="str">
        <f t="shared" ca="1" si="165"/>
        <v/>
      </c>
      <c r="BR28" t="str">
        <f t="shared" ca="1" si="165"/>
        <v/>
      </c>
      <c r="BS28" t="str">
        <f t="shared" ca="1" si="165"/>
        <v/>
      </c>
      <c r="BT28" t="str">
        <f t="shared" ca="1" si="165"/>
        <v/>
      </c>
      <c r="BU28" t="str">
        <f t="shared" ca="1" si="165"/>
        <v/>
      </c>
      <c r="BV28" t="str">
        <f t="shared" ca="1" si="165"/>
        <v/>
      </c>
      <c r="BW28" t="str">
        <f t="shared" ca="1" si="165"/>
        <v/>
      </c>
      <c r="BX28" t="str">
        <f t="shared" ref="BX28:CT33" ca="1" si="171">IF(BX$7&lt;=$E28,IF(BX$7&gt;=$D28,IF(((BX$7-$D28+1)/($E28-$D28+1))&lt;=$H28,$E$5,IF(BX$7&lt;$I$1,$H$5,"")),""),"")</f>
        <v/>
      </c>
      <c r="BY28" t="str">
        <f t="shared" ca="1" si="171"/>
        <v/>
      </c>
      <c r="BZ28" t="str">
        <f t="shared" si="171"/>
        <v/>
      </c>
      <c r="CA28" t="str">
        <f t="shared" si="171"/>
        <v/>
      </c>
      <c r="CB28" t="str">
        <f t="shared" si="171"/>
        <v/>
      </c>
      <c r="CC28" t="str">
        <f t="shared" si="171"/>
        <v/>
      </c>
      <c r="CD28" t="str">
        <f t="shared" si="171"/>
        <v/>
      </c>
      <c r="CE28" t="str">
        <f t="shared" si="171"/>
        <v/>
      </c>
      <c r="CF28" t="str">
        <f t="shared" si="171"/>
        <v/>
      </c>
      <c r="CG28" t="str">
        <f t="shared" si="171"/>
        <v/>
      </c>
      <c r="CH28" t="str">
        <f t="shared" si="171"/>
        <v/>
      </c>
      <c r="CI28" t="str">
        <f t="shared" si="171"/>
        <v/>
      </c>
      <c r="CJ28" t="str">
        <f t="shared" si="171"/>
        <v/>
      </c>
      <c r="CK28" t="str">
        <f t="shared" si="171"/>
        <v/>
      </c>
      <c r="CL28" t="str">
        <f t="shared" si="171"/>
        <v/>
      </c>
      <c r="CM28" t="str">
        <f t="shared" si="171"/>
        <v/>
      </c>
      <c r="CN28" t="str">
        <f t="shared" si="171"/>
        <v/>
      </c>
      <c r="CO28" t="str">
        <f t="shared" si="171"/>
        <v/>
      </c>
      <c r="CP28" t="str">
        <f t="shared" si="171"/>
        <v/>
      </c>
      <c r="CQ28" t="str">
        <f t="shared" si="171"/>
        <v/>
      </c>
      <c r="CR28" t="str">
        <f t="shared" si="171"/>
        <v/>
      </c>
      <c r="CS28" t="str">
        <f t="shared" si="171"/>
        <v/>
      </c>
      <c r="CT28" t="str">
        <f t="shared" si="171"/>
        <v/>
      </c>
      <c r="CU28" t="str">
        <f t="shared" si="170"/>
        <v/>
      </c>
      <c r="CV28" t="str">
        <f t="shared" si="170"/>
        <v/>
      </c>
      <c r="CW28" t="str">
        <f t="shared" si="170"/>
        <v/>
      </c>
      <c r="CX28" t="str">
        <f t="shared" si="170"/>
        <v/>
      </c>
      <c r="CY28" t="str">
        <f t="shared" si="170"/>
        <v/>
      </c>
      <c r="CZ28" t="str">
        <f t="shared" si="162"/>
        <v/>
      </c>
      <c r="DA28" t="str">
        <f t="shared" ca="1" si="162"/>
        <v/>
      </c>
      <c r="DB28" t="str">
        <f t="shared" ca="1" si="162"/>
        <v/>
      </c>
      <c r="DC28" t="str">
        <f t="shared" ca="1" si="162"/>
        <v/>
      </c>
      <c r="DD28" t="str">
        <f t="shared" ca="1" si="162"/>
        <v/>
      </c>
      <c r="DE28" t="str">
        <f t="shared" si="162"/>
        <v/>
      </c>
      <c r="DF28" t="str">
        <f t="shared" si="162"/>
        <v/>
      </c>
      <c r="DG28" t="str">
        <f t="shared" si="162"/>
        <v/>
      </c>
      <c r="DH28" t="str">
        <f t="shared" si="162"/>
        <v/>
      </c>
      <c r="DI28" t="str">
        <f t="shared" si="162"/>
        <v/>
      </c>
      <c r="DJ28" t="str">
        <f t="shared" si="162"/>
        <v/>
      </c>
      <c r="DK28" t="str">
        <f t="shared" si="162"/>
        <v/>
      </c>
      <c r="DL28" t="str">
        <f t="shared" si="162"/>
        <v/>
      </c>
      <c r="DM28" t="str">
        <f t="shared" si="162"/>
        <v/>
      </c>
      <c r="DN28" t="str">
        <f t="shared" si="162"/>
        <v/>
      </c>
      <c r="DO28" t="str">
        <f t="shared" si="162"/>
        <v/>
      </c>
      <c r="DP28" t="str">
        <f t="shared" si="162"/>
        <v/>
      </c>
      <c r="DQ28" t="str">
        <f t="shared" si="162"/>
        <v/>
      </c>
      <c r="DR28" t="str">
        <f t="shared" si="162"/>
        <v/>
      </c>
      <c r="DS28" t="str">
        <f t="shared" si="162"/>
        <v/>
      </c>
      <c r="DT28" t="str">
        <f t="shared" si="162"/>
        <v/>
      </c>
      <c r="DU28" t="str">
        <f t="shared" si="162"/>
        <v/>
      </c>
    </row>
    <row r="29" spans="1:125" s="83" customFormat="1">
      <c r="A29" s="13">
        <v>21</v>
      </c>
      <c r="B29" s="90" t="s">
        <v>148</v>
      </c>
      <c r="C29" s="79"/>
      <c r="D29" s="79">
        <v>45705</v>
      </c>
      <c r="E29" s="79">
        <v>45787</v>
      </c>
      <c r="F29" s="79"/>
      <c r="G29" s="79"/>
      <c r="H29" s="80">
        <v>0</v>
      </c>
      <c r="I29" s="79" t="s">
        <v>155</v>
      </c>
      <c r="J29" s="15" t="s">
        <v>173</v>
      </c>
      <c r="K29" s="81"/>
      <c r="L29" s="82"/>
      <c r="M29" s="83" t="str">
        <f t="shared" si="141"/>
        <v/>
      </c>
      <c r="N29" s="83" t="str">
        <f t="shared" si="141"/>
        <v/>
      </c>
      <c r="O29" s="83" t="str">
        <f t="shared" si="142"/>
        <v/>
      </c>
      <c r="P29" s="83" t="str">
        <f t="shared" si="165"/>
        <v/>
      </c>
      <c r="Q29" s="83" t="str">
        <f t="shared" si="165"/>
        <v/>
      </c>
      <c r="R29" s="83" t="str">
        <f t="shared" si="165"/>
        <v/>
      </c>
      <c r="S29" s="83" t="str">
        <f t="shared" si="165"/>
        <v/>
      </c>
      <c r="T29" s="83" t="str">
        <f t="shared" si="165"/>
        <v/>
      </c>
      <c r="U29" s="83" t="str">
        <f t="shared" si="165"/>
        <v/>
      </c>
      <c r="V29" s="83" t="str">
        <f t="shared" ca="1" si="165"/>
        <v/>
      </c>
      <c r="W29" s="83" t="str">
        <f t="shared" ca="1" si="165"/>
        <v/>
      </c>
      <c r="X29" s="83" t="str">
        <f t="shared" ca="1" si="165"/>
        <v/>
      </c>
      <c r="Y29" s="83" t="str">
        <f t="shared" ca="1" si="165"/>
        <v/>
      </c>
      <c r="Z29" s="83" t="str">
        <f t="shared" ca="1" si="165"/>
        <v/>
      </c>
      <c r="AA29" s="83" t="str">
        <f t="shared" ca="1" si="165"/>
        <v/>
      </c>
      <c r="AB29" s="83" t="str">
        <f t="shared" ca="1" si="165"/>
        <v/>
      </c>
      <c r="AC29" s="83" t="str">
        <f t="shared" ca="1" si="165"/>
        <v/>
      </c>
      <c r="AD29" s="83" t="str">
        <f t="shared" ca="1" si="165"/>
        <v/>
      </c>
      <c r="AE29" s="83" t="str">
        <f t="shared" ca="1" si="165"/>
        <v/>
      </c>
      <c r="AF29" s="83" t="str">
        <f t="shared" ca="1" si="165"/>
        <v/>
      </c>
      <c r="AG29" s="83" t="str">
        <f t="shared" ca="1" si="165"/>
        <v/>
      </c>
      <c r="AH29" s="83" t="str">
        <f t="shared" ca="1" si="165"/>
        <v/>
      </c>
      <c r="AI29" s="83" t="str">
        <f t="shared" ca="1" si="165"/>
        <v/>
      </c>
      <c r="AJ29" s="83" t="str">
        <f t="shared" ca="1" si="165"/>
        <v/>
      </c>
      <c r="AK29" s="83" t="str">
        <f t="shared" ca="1" si="165"/>
        <v/>
      </c>
      <c r="AL29" s="83" t="str">
        <f t="shared" ca="1" si="165"/>
        <v/>
      </c>
      <c r="AM29" s="83" t="str">
        <f t="shared" ca="1" si="165"/>
        <v/>
      </c>
      <c r="AN29" s="83" t="str">
        <f t="shared" ca="1" si="165"/>
        <v/>
      </c>
      <c r="AO29" s="83" t="str">
        <f t="shared" ca="1" si="165"/>
        <v/>
      </c>
      <c r="AP29" s="83" t="str">
        <f t="shared" ca="1" si="165"/>
        <v/>
      </c>
      <c r="AQ29" s="83" t="str">
        <f t="shared" ca="1" si="165"/>
        <v/>
      </c>
      <c r="AR29" s="83" t="str">
        <f t="shared" ref="P29:BW38" ca="1" si="172">IF(AR$7&lt;=$E29,IF(AR$7&gt;=$D29,IF(((AR$7-$D29+1)/($E29-$D29+1))&lt;=$H29,$E$5,IF(AR$7&lt;$I$1,$H$5,"")),""),"")</f>
        <v/>
      </c>
      <c r="AS29" s="83" t="str">
        <f t="shared" ca="1" si="172"/>
        <v/>
      </c>
      <c r="AT29" s="83" t="str">
        <f t="shared" ca="1" si="172"/>
        <v/>
      </c>
      <c r="AU29" s="83" t="str">
        <f t="shared" ca="1" si="172"/>
        <v/>
      </c>
      <c r="AV29" s="83" t="str">
        <f t="shared" ca="1" si="172"/>
        <v/>
      </c>
      <c r="AW29" s="83" t="str">
        <f t="shared" ca="1" si="172"/>
        <v/>
      </c>
      <c r="AX29" s="83" t="str">
        <f t="shared" ca="1" si="172"/>
        <v/>
      </c>
      <c r="AY29" s="83" t="str">
        <f t="shared" ca="1" si="172"/>
        <v/>
      </c>
      <c r="AZ29" s="83" t="str">
        <f t="shared" ca="1" si="172"/>
        <v/>
      </c>
      <c r="BA29" s="83" t="str">
        <f t="shared" ca="1" si="172"/>
        <v/>
      </c>
      <c r="BB29" s="83" t="str">
        <f t="shared" ca="1" si="172"/>
        <v/>
      </c>
      <c r="BC29" s="83" t="str">
        <f t="shared" ca="1" si="172"/>
        <v/>
      </c>
      <c r="BD29" s="83" t="str">
        <f t="shared" ca="1" si="172"/>
        <v/>
      </c>
      <c r="BE29" s="83" t="str">
        <f t="shared" ca="1" si="172"/>
        <v/>
      </c>
      <c r="BF29" s="83" t="str">
        <f t="shared" ca="1" si="172"/>
        <v/>
      </c>
      <c r="BG29" s="83" t="str">
        <f t="shared" ca="1" si="172"/>
        <v/>
      </c>
      <c r="BH29" s="83" t="str">
        <f t="shared" ca="1" si="172"/>
        <v/>
      </c>
      <c r="BI29" s="83" t="str">
        <f t="shared" ca="1" si="172"/>
        <v/>
      </c>
      <c r="BJ29" s="83" t="str">
        <f t="shared" ca="1" si="172"/>
        <v/>
      </c>
      <c r="BK29" s="83" t="str">
        <f t="shared" ca="1" si="172"/>
        <v/>
      </c>
      <c r="BL29" s="83" t="str">
        <f t="shared" ca="1" si="172"/>
        <v/>
      </c>
      <c r="BM29" s="83" t="str">
        <f t="shared" ca="1" si="172"/>
        <v/>
      </c>
      <c r="BN29" s="83" t="str">
        <f t="shared" ca="1" si="172"/>
        <v/>
      </c>
      <c r="BO29" s="83" t="str">
        <f t="shared" ca="1" si="172"/>
        <v/>
      </c>
      <c r="BP29" s="83" t="str">
        <f t="shared" ca="1" si="172"/>
        <v/>
      </c>
      <c r="BQ29" s="83" t="str">
        <f t="shared" ca="1" si="172"/>
        <v/>
      </c>
      <c r="BR29" s="83" t="str">
        <f t="shared" ca="1" si="172"/>
        <v/>
      </c>
      <c r="BS29" s="83" t="str">
        <f t="shared" ca="1" si="172"/>
        <v/>
      </c>
      <c r="BT29" s="83" t="str">
        <f t="shared" ca="1" si="172"/>
        <v/>
      </c>
      <c r="BU29" s="83" t="str">
        <f t="shared" ca="1" si="172"/>
        <v/>
      </c>
      <c r="BV29" s="83" t="str">
        <f t="shared" ca="1" si="172"/>
        <v/>
      </c>
      <c r="BW29" s="83" t="str">
        <f t="shared" ca="1" si="172"/>
        <v/>
      </c>
      <c r="BX29" s="83" t="str">
        <f t="shared" ca="1" si="171"/>
        <v/>
      </c>
      <c r="BY29" s="83" t="str">
        <f t="shared" ca="1" si="171"/>
        <v/>
      </c>
      <c r="BZ29" s="83" t="str">
        <f t="shared" ca="1" si="171"/>
        <v/>
      </c>
      <c r="CA29" s="83" t="str">
        <f t="shared" ca="1" si="171"/>
        <v/>
      </c>
      <c r="CB29" s="83" t="str">
        <f t="shared" ca="1" si="171"/>
        <v/>
      </c>
      <c r="CC29" s="83" t="str">
        <f t="shared" ca="1" si="171"/>
        <v/>
      </c>
      <c r="CD29" s="83" t="str">
        <f t="shared" ca="1" si="171"/>
        <v/>
      </c>
      <c r="CE29" s="83" t="str">
        <f t="shared" ca="1" si="171"/>
        <v/>
      </c>
      <c r="CF29" s="83" t="str">
        <f t="shared" ca="1" si="171"/>
        <v/>
      </c>
      <c r="CG29" s="83" t="str">
        <f t="shared" ca="1" si="171"/>
        <v/>
      </c>
      <c r="CH29" s="83" t="str">
        <f t="shared" ca="1" si="171"/>
        <v/>
      </c>
      <c r="CI29" s="83" t="str">
        <f t="shared" ca="1" si="171"/>
        <v/>
      </c>
      <c r="CJ29" s="83" t="str">
        <f t="shared" ca="1" si="171"/>
        <v/>
      </c>
      <c r="CK29" s="83" t="str">
        <f t="shared" ca="1" si="171"/>
        <v/>
      </c>
      <c r="CL29" s="83" t="str">
        <f t="shared" ca="1" si="171"/>
        <v/>
      </c>
      <c r="CM29" s="83" t="str">
        <f t="shared" ca="1" si="171"/>
        <v/>
      </c>
      <c r="CN29" s="83" t="str">
        <f t="shared" ca="1" si="171"/>
        <v/>
      </c>
      <c r="CO29" s="83" t="str">
        <f t="shared" ca="1" si="171"/>
        <v/>
      </c>
      <c r="CP29" s="83" t="str">
        <f t="shared" ca="1" si="171"/>
        <v/>
      </c>
      <c r="CQ29" s="83" t="str">
        <f t="shared" ca="1" si="171"/>
        <v/>
      </c>
      <c r="CR29" s="83" t="str">
        <f t="shared" ca="1" si="171"/>
        <v/>
      </c>
      <c r="CS29" s="83" t="str">
        <f t="shared" ca="1" si="171"/>
        <v/>
      </c>
      <c r="CT29" s="83" t="str">
        <f t="shared" ca="1" si="171"/>
        <v/>
      </c>
      <c r="CU29" s="83" t="str">
        <f t="shared" si="145"/>
        <v/>
      </c>
      <c r="CV29" s="83" t="str">
        <f t="shared" si="145"/>
        <v/>
      </c>
      <c r="CW29" s="83" t="str">
        <f t="shared" ca="1" si="145"/>
        <v/>
      </c>
      <c r="CX29" s="83" t="str">
        <f t="shared" ca="1" si="145"/>
        <v/>
      </c>
      <c r="CY29" s="83" t="str">
        <f t="shared" ca="1" si="145"/>
        <v/>
      </c>
      <c r="CZ29" s="83" t="str">
        <f t="shared" ca="1" si="162"/>
        <v/>
      </c>
      <c r="DA29" s="83" t="str">
        <f t="shared" ca="1" si="162"/>
        <v/>
      </c>
      <c r="DB29" s="83" t="str">
        <f t="shared" ca="1" si="162"/>
        <v/>
      </c>
      <c r="DC29" s="83" t="str">
        <f t="shared" ca="1" si="162"/>
        <v/>
      </c>
      <c r="DD29" s="83" t="str">
        <f t="shared" ca="1" si="162"/>
        <v/>
      </c>
      <c r="DE29" s="83" t="str">
        <f t="shared" ca="1" si="162"/>
        <v/>
      </c>
      <c r="DF29" s="83" t="str">
        <f t="shared" ca="1" si="162"/>
        <v/>
      </c>
      <c r="DG29" s="83" t="str">
        <f t="shared" ca="1" si="162"/>
        <v/>
      </c>
      <c r="DH29" s="83" t="str">
        <f t="shared" ca="1" si="162"/>
        <v/>
      </c>
      <c r="DI29" s="83" t="str">
        <f t="shared" si="162"/>
        <v/>
      </c>
      <c r="DJ29" s="83" t="str">
        <f t="shared" si="162"/>
        <v/>
      </c>
      <c r="DK29" s="83" t="str">
        <f t="shared" si="162"/>
        <v/>
      </c>
      <c r="DL29" s="83" t="str">
        <f t="shared" si="162"/>
        <v/>
      </c>
      <c r="DM29" s="83" t="str">
        <f t="shared" si="162"/>
        <v/>
      </c>
      <c r="DN29" s="83" t="str">
        <f t="shared" si="162"/>
        <v/>
      </c>
      <c r="DO29" s="83" t="str">
        <f t="shared" si="162"/>
        <v/>
      </c>
      <c r="DP29" s="83" t="str">
        <f t="shared" si="162"/>
        <v/>
      </c>
      <c r="DQ29" s="83" t="str">
        <f t="shared" si="162"/>
        <v/>
      </c>
      <c r="DR29" s="83" t="str">
        <f t="shared" si="162"/>
        <v/>
      </c>
      <c r="DS29" s="83" t="str">
        <f t="shared" si="162"/>
        <v/>
      </c>
      <c r="DT29" s="83" t="str">
        <f t="shared" si="162"/>
        <v/>
      </c>
      <c r="DU29" s="83" t="str">
        <f t="shared" si="162"/>
        <v/>
      </c>
    </row>
    <row r="30" spans="1:125" outlineLevel="1">
      <c r="A30" s="13">
        <v>22</v>
      </c>
      <c r="B30" s="76" t="s">
        <v>176</v>
      </c>
      <c r="C30" s="15"/>
      <c r="D30" s="15">
        <v>45705</v>
      </c>
      <c r="E30" s="15">
        <v>45726</v>
      </c>
      <c r="F30" s="15"/>
      <c r="G30" s="15"/>
      <c r="H30" s="29">
        <v>0</v>
      </c>
      <c r="I30" s="15" t="s">
        <v>155</v>
      </c>
      <c r="J30" s="15" t="s">
        <v>165</v>
      </c>
      <c r="K30" s="14"/>
      <c r="L30" s="64"/>
      <c r="M30" t="str">
        <f t="shared" si="141"/>
        <v/>
      </c>
      <c r="N30" t="str">
        <f t="shared" si="141"/>
        <v/>
      </c>
      <c r="O30" t="str">
        <f t="shared" si="141"/>
        <v/>
      </c>
      <c r="P30" t="str">
        <f t="shared" ref="P30:BW38" si="173">IF(P$7&lt;=$E30,IF(P$7&gt;=$D30,IF(((P$7-$D30+1)/($E30-$D30+1))&lt;=$H30,$E$5,IF(P$7&lt;$I$1,$H$5,"")),""),"")</f>
        <v/>
      </c>
      <c r="Q30" t="str">
        <f t="shared" si="173"/>
        <v/>
      </c>
      <c r="R30" t="str">
        <f t="shared" si="173"/>
        <v/>
      </c>
      <c r="S30" t="str">
        <f t="shared" si="173"/>
        <v/>
      </c>
      <c r="T30" t="str">
        <f t="shared" si="173"/>
        <v/>
      </c>
      <c r="U30" t="str">
        <f t="shared" si="173"/>
        <v/>
      </c>
      <c r="V30" t="str">
        <f t="shared" ca="1" si="173"/>
        <v/>
      </c>
      <c r="W30" t="str">
        <f t="shared" ca="1" si="173"/>
        <v/>
      </c>
      <c r="X30" t="str">
        <f t="shared" ca="1" si="173"/>
        <v/>
      </c>
      <c r="Y30" t="str">
        <f t="shared" ca="1" si="173"/>
        <v/>
      </c>
      <c r="Z30" t="str">
        <f t="shared" ca="1" si="173"/>
        <v/>
      </c>
      <c r="AA30" t="str">
        <f t="shared" ca="1" si="173"/>
        <v/>
      </c>
      <c r="AB30" t="str">
        <f t="shared" ca="1" si="173"/>
        <v/>
      </c>
      <c r="AC30" t="str">
        <f t="shared" ca="1" si="173"/>
        <v/>
      </c>
      <c r="AD30" t="str">
        <f t="shared" ca="1" si="173"/>
        <v/>
      </c>
      <c r="AE30" t="str">
        <f t="shared" ca="1" si="173"/>
        <v/>
      </c>
      <c r="AF30" t="str">
        <f t="shared" ca="1" si="173"/>
        <v/>
      </c>
      <c r="AG30" t="str">
        <f t="shared" ca="1" si="173"/>
        <v/>
      </c>
      <c r="AH30" t="str">
        <f t="shared" ca="1" si="173"/>
        <v/>
      </c>
      <c r="AI30" t="str">
        <f t="shared" ca="1" si="173"/>
        <v/>
      </c>
      <c r="AJ30" t="str">
        <f t="shared" ca="1" si="173"/>
        <v/>
      </c>
      <c r="AK30" t="str">
        <f t="shared" ca="1" si="173"/>
        <v/>
      </c>
      <c r="AL30" t="str">
        <f t="shared" ca="1" si="173"/>
        <v/>
      </c>
      <c r="AM30" t="str">
        <f t="shared" ca="1" si="173"/>
        <v/>
      </c>
      <c r="AN30" t="str">
        <f t="shared" ca="1" si="173"/>
        <v/>
      </c>
      <c r="AO30" t="str">
        <f t="shared" ca="1" si="173"/>
        <v/>
      </c>
      <c r="AP30" t="str">
        <f t="shared" ca="1" si="173"/>
        <v/>
      </c>
      <c r="AQ30" t="str">
        <f t="shared" ca="1" si="173"/>
        <v/>
      </c>
      <c r="AR30" t="str">
        <f t="shared" si="173"/>
        <v/>
      </c>
      <c r="AS30" t="str">
        <f t="shared" si="173"/>
        <v/>
      </c>
      <c r="AT30" t="str">
        <f t="shared" si="173"/>
        <v/>
      </c>
      <c r="AU30" t="str">
        <f t="shared" si="173"/>
        <v/>
      </c>
      <c r="AV30" t="str">
        <f t="shared" si="173"/>
        <v/>
      </c>
      <c r="AW30" t="str">
        <f t="shared" si="173"/>
        <v/>
      </c>
      <c r="AX30" t="str">
        <f t="shared" si="173"/>
        <v/>
      </c>
      <c r="AY30" t="str">
        <f t="shared" si="173"/>
        <v/>
      </c>
      <c r="AZ30" t="str">
        <f t="shared" si="173"/>
        <v/>
      </c>
      <c r="BA30" t="str">
        <f t="shared" si="173"/>
        <v/>
      </c>
      <c r="BB30" t="str">
        <f t="shared" si="173"/>
        <v/>
      </c>
      <c r="BC30" t="str">
        <f t="shared" si="173"/>
        <v/>
      </c>
      <c r="BD30" t="str">
        <f t="shared" si="173"/>
        <v/>
      </c>
      <c r="BE30" t="str">
        <f t="shared" si="173"/>
        <v/>
      </c>
      <c r="BF30" t="str">
        <f t="shared" si="173"/>
        <v/>
      </c>
      <c r="BG30" t="str">
        <f t="shared" si="173"/>
        <v/>
      </c>
      <c r="BH30" t="str">
        <f t="shared" si="173"/>
        <v/>
      </c>
      <c r="BI30" t="str">
        <f t="shared" si="173"/>
        <v/>
      </c>
      <c r="BJ30" t="str">
        <f t="shared" si="173"/>
        <v/>
      </c>
      <c r="BK30" t="str">
        <f t="shared" si="173"/>
        <v/>
      </c>
      <c r="BL30" t="str">
        <f t="shared" si="173"/>
        <v/>
      </c>
      <c r="BM30" t="str">
        <f t="shared" si="173"/>
        <v/>
      </c>
      <c r="BN30" t="str">
        <f t="shared" si="173"/>
        <v/>
      </c>
      <c r="BO30" t="str">
        <f t="shared" si="173"/>
        <v/>
      </c>
      <c r="BP30" t="str">
        <f t="shared" si="173"/>
        <v/>
      </c>
      <c r="BQ30" t="str">
        <f t="shared" si="173"/>
        <v/>
      </c>
      <c r="BR30" t="str">
        <f t="shared" si="173"/>
        <v/>
      </c>
      <c r="BS30" t="str">
        <f t="shared" si="173"/>
        <v/>
      </c>
      <c r="BT30" t="str">
        <f t="shared" si="173"/>
        <v/>
      </c>
      <c r="BU30" t="str">
        <f t="shared" si="173"/>
        <v/>
      </c>
      <c r="BV30" t="str">
        <f t="shared" si="173"/>
        <v/>
      </c>
      <c r="BW30" t="str">
        <f t="shared" si="173"/>
        <v/>
      </c>
      <c r="BX30" t="str">
        <f t="shared" ref="BX30:CN37" si="174">IF(BX$7&lt;=$E30,IF(BX$7&gt;=$D30,IF(((BX$7-$D30+1)/($E30-$D30+1))&lt;=$H30,$E$5,IF(BX$7&lt;$I$1,$H$5,"")),""),"")</f>
        <v/>
      </c>
      <c r="BY30" t="str">
        <f t="shared" si="174"/>
        <v/>
      </c>
      <c r="BZ30" t="str">
        <f t="shared" si="174"/>
        <v/>
      </c>
      <c r="CA30" t="str">
        <f t="shared" si="174"/>
        <v/>
      </c>
      <c r="CB30" t="str">
        <f t="shared" si="174"/>
        <v/>
      </c>
      <c r="CC30" t="str">
        <f t="shared" si="174"/>
        <v/>
      </c>
      <c r="CD30" t="str">
        <f t="shared" si="174"/>
        <v/>
      </c>
      <c r="CE30" t="str">
        <f t="shared" si="174"/>
        <v/>
      </c>
      <c r="CF30" t="str">
        <f t="shared" si="174"/>
        <v/>
      </c>
      <c r="CG30" t="str">
        <f t="shared" si="174"/>
        <v/>
      </c>
      <c r="CH30" t="str">
        <f t="shared" si="174"/>
        <v/>
      </c>
      <c r="CI30" t="str">
        <f t="shared" si="174"/>
        <v/>
      </c>
      <c r="CJ30" t="str">
        <f t="shared" si="174"/>
        <v/>
      </c>
      <c r="CK30" t="str">
        <f t="shared" si="174"/>
        <v/>
      </c>
      <c r="CL30" t="str">
        <f t="shared" si="174"/>
        <v/>
      </c>
      <c r="CM30" t="str">
        <f t="shared" si="174"/>
        <v/>
      </c>
      <c r="CN30" t="str">
        <f t="shared" si="174"/>
        <v/>
      </c>
      <c r="CO30" t="str">
        <f t="shared" si="171"/>
        <v/>
      </c>
      <c r="CP30" t="str">
        <f t="shared" si="171"/>
        <v/>
      </c>
      <c r="CQ30" t="str">
        <f t="shared" si="171"/>
        <v/>
      </c>
      <c r="CR30" t="str">
        <f t="shared" si="171"/>
        <v/>
      </c>
      <c r="CS30" t="str">
        <f t="shared" si="171"/>
        <v/>
      </c>
      <c r="CT30" t="str">
        <f t="shared" si="171"/>
        <v/>
      </c>
      <c r="CU30" t="str">
        <f t="shared" si="145"/>
        <v/>
      </c>
      <c r="CV30" t="str">
        <f t="shared" si="145"/>
        <v/>
      </c>
      <c r="CW30" t="str">
        <f t="shared" ca="1" si="145"/>
        <v/>
      </c>
      <c r="CX30" t="str">
        <f t="shared" ca="1" si="145"/>
        <v/>
      </c>
      <c r="CY30" t="str">
        <f t="shared" ca="1" si="145"/>
        <v/>
      </c>
      <c r="CZ30" t="str">
        <f t="shared" ca="1" si="162"/>
        <v/>
      </c>
      <c r="DA30" t="str">
        <f t="shared" si="162"/>
        <v/>
      </c>
      <c r="DB30" t="str">
        <f t="shared" si="162"/>
        <v/>
      </c>
      <c r="DC30" t="str">
        <f t="shared" si="162"/>
        <v/>
      </c>
      <c r="DD30" t="str">
        <f t="shared" si="162"/>
        <v/>
      </c>
      <c r="DE30" t="str">
        <f t="shared" si="162"/>
        <v/>
      </c>
      <c r="DF30" t="str">
        <f t="shared" si="162"/>
        <v/>
      </c>
      <c r="DG30" t="str">
        <f t="shared" si="162"/>
        <v/>
      </c>
      <c r="DH30" t="str">
        <f t="shared" si="162"/>
        <v/>
      </c>
      <c r="DI30" t="str">
        <f t="shared" si="162"/>
        <v/>
      </c>
      <c r="DJ30" t="str">
        <f t="shared" si="162"/>
        <v/>
      </c>
      <c r="DK30" t="str">
        <f t="shared" si="162"/>
        <v/>
      </c>
      <c r="DL30" t="str">
        <f t="shared" si="162"/>
        <v/>
      </c>
      <c r="DM30" t="str">
        <f t="shared" si="162"/>
        <v/>
      </c>
      <c r="DN30" t="str">
        <f t="shared" si="162"/>
        <v/>
      </c>
      <c r="DO30" t="str">
        <f t="shared" si="162"/>
        <v/>
      </c>
      <c r="DP30" t="str">
        <f t="shared" si="162"/>
        <v/>
      </c>
      <c r="DQ30" t="str">
        <f t="shared" si="162"/>
        <v/>
      </c>
      <c r="DR30" t="str">
        <f t="shared" si="162"/>
        <v/>
      </c>
      <c r="DS30" t="str">
        <f t="shared" si="162"/>
        <v/>
      </c>
      <c r="DT30" t="str">
        <f t="shared" si="162"/>
        <v/>
      </c>
      <c r="DU30" t="str">
        <f t="shared" si="162"/>
        <v/>
      </c>
    </row>
    <row r="31" spans="1:125" outlineLevel="1">
      <c r="A31" s="13">
        <v>23</v>
      </c>
      <c r="B31" s="76" t="s">
        <v>150</v>
      </c>
      <c r="C31" s="15"/>
      <c r="D31" s="15">
        <v>45705</v>
      </c>
      <c r="E31" s="15">
        <v>45726</v>
      </c>
      <c r="F31" s="15"/>
      <c r="G31" s="15"/>
      <c r="H31" s="29">
        <v>0</v>
      </c>
      <c r="I31" s="15" t="s">
        <v>155</v>
      </c>
      <c r="J31" s="15" t="s">
        <v>165</v>
      </c>
      <c r="K31" s="14"/>
      <c r="L31" s="64"/>
      <c r="M31" t="str">
        <f t="shared" si="141"/>
        <v/>
      </c>
      <c r="N31" t="str">
        <f t="shared" si="141"/>
        <v/>
      </c>
      <c r="O31" t="str">
        <f t="shared" si="142"/>
        <v/>
      </c>
      <c r="P31" t="str">
        <f t="shared" si="172"/>
        <v/>
      </c>
      <c r="Q31" t="str">
        <f t="shared" si="172"/>
        <v/>
      </c>
      <c r="R31" t="str">
        <f t="shared" si="172"/>
        <v/>
      </c>
      <c r="S31" t="str">
        <f t="shared" si="172"/>
        <v/>
      </c>
      <c r="T31" t="str">
        <f t="shared" si="172"/>
        <v/>
      </c>
      <c r="U31" t="str">
        <f t="shared" si="172"/>
        <v/>
      </c>
      <c r="V31" t="str">
        <f t="shared" ca="1" si="172"/>
        <v/>
      </c>
      <c r="W31" t="str">
        <f t="shared" ca="1" si="172"/>
        <v/>
      </c>
      <c r="X31" t="str">
        <f t="shared" ca="1" si="172"/>
        <v/>
      </c>
      <c r="Y31" t="str">
        <f t="shared" ca="1" si="172"/>
        <v/>
      </c>
      <c r="Z31" t="str">
        <f t="shared" ca="1" si="172"/>
        <v/>
      </c>
      <c r="AA31" t="str">
        <f t="shared" ca="1" si="172"/>
        <v/>
      </c>
      <c r="AB31" t="str">
        <f t="shared" ca="1" si="172"/>
        <v/>
      </c>
      <c r="AC31" t="str">
        <f t="shared" ca="1" si="172"/>
        <v/>
      </c>
      <c r="AD31" t="str">
        <f t="shared" ca="1" si="172"/>
        <v/>
      </c>
      <c r="AE31" t="str">
        <f t="shared" ca="1" si="172"/>
        <v/>
      </c>
      <c r="AF31" t="str">
        <f t="shared" ca="1" si="172"/>
        <v/>
      </c>
      <c r="AG31" t="str">
        <f t="shared" ca="1" si="172"/>
        <v/>
      </c>
      <c r="AH31" t="str">
        <f t="shared" ca="1" si="172"/>
        <v/>
      </c>
      <c r="AI31" t="str">
        <f t="shared" ca="1" si="172"/>
        <v/>
      </c>
      <c r="AJ31" t="str">
        <f t="shared" ca="1" si="172"/>
        <v/>
      </c>
      <c r="AK31" t="str">
        <f t="shared" ca="1" si="172"/>
        <v/>
      </c>
      <c r="AL31" t="str">
        <f t="shared" ca="1" si="172"/>
        <v/>
      </c>
      <c r="AM31" t="str">
        <f t="shared" ca="1" si="172"/>
        <v/>
      </c>
      <c r="AN31" t="str">
        <f t="shared" ca="1" si="172"/>
        <v/>
      </c>
      <c r="AO31" t="str">
        <f t="shared" ca="1" si="172"/>
        <v/>
      </c>
      <c r="AP31" t="str">
        <f t="shared" ca="1" si="172"/>
        <v/>
      </c>
      <c r="AQ31" t="str">
        <f t="shared" ca="1" si="172"/>
        <v/>
      </c>
      <c r="AR31" t="str">
        <f t="shared" si="172"/>
        <v/>
      </c>
      <c r="AS31" t="str">
        <f t="shared" si="172"/>
        <v/>
      </c>
      <c r="AT31" t="str">
        <f t="shared" si="172"/>
        <v/>
      </c>
      <c r="AU31" t="str">
        <f t="shared" si="172"/>
        <v/>
      </c>
      <c r="AV31" t="str">
        <f t="shared" si="172"/>
        <v/>
      </c>
      <c r="AW31" t="str">
        <f t="shared" si="172"/>
        <v/>
      </c>
      <c r="AX31" t="str">
        <f t="shared" si="172"/>
        <v/>
      </c>
      <c r="AY31" t="str">
        <f t="shared" si="172"/>
        <v/>
      </c>
      <c r="AZ31" t="str">
        <f t="shared" si="172"/>
        <v/>
      </c>
      <c r="BA31" t="str">
        <f t="shared" si="172"/>
        <v/>
      </c>
      <c r="BB31" t="str">
        <f t="shared" si="172"/>
        <v/>
      </c>
      <c r="BC31" t="str">
        <f t="shared" si="172"/>
        <v/>
      </c>
      <c r="BD31" t="str">
        <f t="shared" si="172"/>
        <v/>
      </c>
      <c r="BE31" t="str">
        <f t="shared" si="172"/>
        <v/>
      </c>
      <c r="BF31" t="str">
        <f t="shared" si="172"/>
        <v/>
      </c>
      <c r="BG31" t="str">
        <f t="shared" si="172"/>
        <v/>
      </c>
      <c r="BH31" t="str">
        <f t="shared" si="172"/>
        <v/>
      </c>
      <c r="BI31" t="str">
        <f t="shared" si="172"/>
        <v/>
      </c>
      <c r="BJ31" t="str">
        <f t="shared" si="172"/>
        <v/>
      </c>
      <c r="BK31" t="str">
        <f t="shared" si="172"/>
        <v/>
      </c>
      <c r="BL31" t="str">
        <f t="shared" si="172"/>
        <v/>
      </c>
      <c r="BM31" t="str">
        <f t="shared" si="172"/>
        <v/>
      </c>
      <c r="BN31" t="str">
        <f t="shared" si="172"/>
        <v/>
      </c>
      <c r="BO31" t="str">
        <f t="shared" si="172"/>
        <v/>
      </c>
      <c r="BP31" t="str">
        <f t="shared" si="172"/>
        <v/>
      </c>
      <c r="BQ31" t="str">
        <f t="shared" si="172"/>
        <v/>
      </c>
      <c r="BR31" t="str">
        <f t="shared" si="172"/>
        <v/>
      </c>
      <c r="BS31" t="str">
        <f t="shared" si="172"/>
        <v/>
      </c>
      <c r="BT31" t="str">
        <f t="shared" si="172"/>
        <v/>
      </c>
      <c r="BU31" t="str">
        <f t="shared" si="172"/>
        <v/>
      </c>
      <c r="BV31" t="str">
        <f t="shared" si="172"/>
        <v/>
      </c>
      <c r="BW31" t="str">
        <f t="shared" si="172"/>
        <v/>
      </c>
      <c r="BX31" t="str">
        <f t="shared" si="174"/>
        <v/>
      </c>
      <c r="BY31" t="str">
        <f t="shared" si="174"/>
        <v/>
      </c>
      <c r="BZ31" t="str">
        <f t="shared" si="174"/>
        <v/>
      </c>
      <c r="CA31" t="str">
        <f t="shared" si="174"/>
        <v/>
      </c>
      <c r="CB31" t="str">
        <f t="shared" si="174"/>
        <v/>
      </c>
      <c r="CC31" t="str">
        <f t="shared" si="174"/>
        <v/>
      </c>
      <c r="CD31" t="str">
        <f t="shared" si="174"/>
        <v/>
      </c>
      <c r="CE31" t="str">
        <f t="shared" si="174"/>
        <v/>
      </c>
      <c r="CF31" t="str">
        <f t="shared" si="174"/>
        <v/>
      </c>
      <c r="CG31" t="str">
        <f t="shared" si="174"/>
        <v/>
      </c>
      <c r="CH31" t="str">
        <f t="shared" si="174"/>
        <v/>
      </c>
      <c r="CI31" t="str">
        <f t="shared" si="174"/>
        <v/>
      </c>
      <c r="CJ31" t="str">
        <f t="shared" si="174"/>
        <v/>
      </c>
      <c r="CK31" t="str">
        <f t="shared" si="174"/>
        <v/>
      </c>
      <c r="CL31" t="str">
        <f t="shared" si="174"/>
        <v/>
      </c>
      <c r="CM31" t="str">
        <f t="shared" si="174"/>
        <v/>
      </c>
      <c r="CN31" t="str">
        <f t="shared" si="174"/>
        <v/>
      </c>
      <c r="CO31" t="str">
        <f t="shared" si="171"/>
        <v/>
      </c>
      <c r="CP31" t="str">
        <f t="shared" si="171"/>
        <v/>
      </c>
      <c r="CQ31" t="str">
        <f t="shared" si="171"/>
        <v/>
      </c>
      <c r="CR31" t="str">
        <f t="shared" si="171"/>
        <v/>
      </c>
      <c r="CS31" t="str">
        <f t="shared" si="171"/>
        <v/>
      </c>
      <c r="CT31" t="str">
        <f t="shared" si="171"/>
        <v/>
      </c>
      <c r="CU31" t="str">
        <f t="shared" si="145"/>
        <v/>
      </c>
      <c r="CV31" t="str">
        <f t="shared" si="145"/>
        <v/>
      </c>
      <c r="CW31" t="str">
        <f t="shared" ca="1" si="145"/>
        <v/>
      </c>
      <c r="CX31" t="str">
        <f t="shared" ca="1" si="145"/>
        <v/>
      </c>
      <c r="CY31" t="str">
        <f t="shared" ca="1" si="145"/>
        <v/>
      </c>
      <c r="CZ31" t="str">
        <f t="shared" ca="1" si="162"/>
        <v/>
      </c>
      <c r="DA31" t="str">
        <f t="shared" si="162"/>
        <v/>
      </c>
      <c r="DB31" t="str">
        <f t="shared" si="162"/>
        <v/>
      </c>
      <c r="DC31" t="str">
        <f t="shared" si="162"/>
        <v/>
      </c>
      <c r="DD31" t="str">
        <f t="shared" si="162"/>
        <v/>
      </c>
      <c r="DE31" t="str">
        <f t="shared" si="162"/>
        <v/>
      </c>
      <c r="DF31" t="str">
        <f t="shared" si="162"/>
        <v/>
      </c>
      <c r="DG31" t="str">
        <f t="shared" si="162"/>
        <v/>
      </c>
      <c r="DH31" t="str">
        <f t="shared" si="162"/>
        <v/>
      </c>
      <c r="DI31" t="str">
        <f t="shared" si="162"/>
        <v/>
      </c>
      <c r="DJ31" t="str">
        <f t="shared" si="162"/>
        <v/>
      </c>
      <c r="DK31" t="str">
        <f t="shared" si="162"/>
        <v/>
      </c>
      <c r="DL31" t="str">
        <f t="shared" si="162"/>
        <v/>
      </c>
      <c r="DM31" t="str">
        <f t="shared" si="162"/>
        <v/>
      </c>
      <c r="DN31" t="str">
        <f t="shared" si="162"/>
        <v/>
      </c>
      <c r="DO31" t="str">
        <f t="shared" si="162"/>
        <v/>
      </c>
      <c r="DP31" t="str">
        <f t="shared" si="162"/>
        <v/>
      </c>
      <c r="DQ31" t="str">
        <f t="shared" si="162"/>
        <v/>
      </c>
      <c r="DR31" t="str">
        <f t="shared" si="162"/>
        <v/>
      </c>
      <c r="DS31" t="str">
        <f t="shared" si="162"/>
        <v/>
      </c>
      <c r="DT31" t="str">
        <f t="shared" si="162"/>
        <v/>
      </c>
      <c r="DU31" t="str">
        <f t="shared" si="162"/>
        <v/>
      </c>
    </row>
    <row r="32" spans="1:125" s="89" customFormat="1" outlineLevel="1">
      <c r="A32" s="78">
        <v>24</v>
      </c>
      <c r="B32" s="84" t="s">
        <v>149</v>
      </c>
      <c r="C32" s="85"/>
      <c r="D32" s="85">
        <v>45705</v>
      </c>
      <c r="E32" s="85">
        <v>45740</v>
      </c>
      <c r="F32" s="85"/>
      <c r="G32" s="85"/>
      <c r="H32" s="86">
        <v>0</v>
      </c>
      <c r="I32" s="85" t="s">
        <v>155</v>
      </c>
      <c r="J32" s="85" t="s">
        <v>165</v>
      </c>
      <c r="K32" s="87"/>
      <c r="L32" s="88"/>
      <c r="M32" s="89" t="str">
        <f t="shared" si="141"/>
        <v/>
      </c>
      <c r="N32" s="89" t="str">
        <f t="shared" si="141"/>
        <v/>
      </c>
      <c r="O32" s="89" t="str">
        <f t="shared" si="141"/>
        <v/>
      </c>
      <c r="P32" s="89" t="str">
        <f t="shared" si="173"/>
        <v/>
      </c>
      <c r="Q32" s="89" t="str">
        <f t="shared" si="173"/>
        <v/>
      </c>
      <c r="R32" s="89" t="str">
        <f t="shared" si="173"/>
        <v/>
      </c>
      <c r="S32" s="89" t="str">
        <f t="shared" si="173"/>
        <v/>
      </c>
      <c r="T32" s="89" t="str">
        <f t="shared" si="173"/>
        <v/>
      </c>
      <c r="U32" s="89" t="str">
        <f t="shared" si="173"/>
        <v/>
      </c>
      <c r="V32" s="89" t="str">
        <f t="shared" ca="1" si="173"/>
        <v/>
      </c>
      <c r="W32" s="89" t="str">
        <f t="shared" ca="1" si="173"/>
        <v/>
      </c>
      <c r="X32" s="89" t="str">
        <f t="shared" ca="1" si="173"/>
        <v/>
      </c>
      <c r="Y32" s="89" t="str">
        <f t="shared" ca="1" si="173"/>
        <v/>
      </c>
      <c r="Z32" s="89" t="str">
        <f t="shared" ca="1" si="173"/>
        <v/>
      </c>
      <c r="AA32" s="89" t="str">
        <f t="shared" ca="1" si="173"/>
        <v/>
      </c>
      <c r="AB32" s="89" t="str">
        <f t="shared" ca="1" si="173"/>
        <v/>
      </c>
      <c r="AC32" s="89" t="str">
        <f t="shared" ca="1" si="173"/>
        <v/>
      </c>
      <c r="AD32" s="89" t="str">
        <f t="shared" ca="1" si="173"/>
        <v/>
      </c>
      <c r="AE32" s="89" t="str">
        <f t="shared" ca="1" si="173"/>
        <v/>
      </c>
      <c r="AF32" s="89" t="str">
        <f t="shared" ca="1" si="173"/>
        <v/>
      </c>
      <c r="AG32" s="89" t="str">
        <f t="shared" ca="1" si="173"/>
        <v/>
      </c>
      <c r="AH32" s="89" t="str">
        <f t="shared" ca="1" si="173"/>
        <v/>
      </c>
      <c r="AI32" s="89" t="str">
        <f t="shared" ca="1" si="173"/>
        <v/>
      </c>
      <c r="AJ32" s="89" t="str">
        <f t="shared" ca="1" si="173"/>
        <v/>
      </c>
      <c r="AK32" s="89" t="str">
        <f t="shared" ca="1" si="173"/>
        <v/>
      </c>
      <c r="AL32" s="89" t="str">
        <f t="shared" ca="1" si="173"/>
        <v/>
      </c>
      <c r="AM32" s="89" t="str">
        <f t="shared" ca="1" si="173"/>
        <v/>
      </c>
      <c r="AN32" s="89" t="str">
        <f t="shared" ca="1" si="173"/>
        <v/>
      </c>
      <c r="AO32" s="89" t="str">
        <f t="shared" ca="1" si="173"/>
        <v/>
      </c>
      <c r="AP32" s="89" t="str">
        <f t="shared" ca="1" si="173"/>
        <v/>
      </c>
      <c r="AQ32" s="89" t="str">
        <f t="shared" ca="1" si="173"/>
        <v/>
      </c>
      <c r="AR32" s="89" t="str">
        <f t="shared" ca="1" si="173"/>
        <v/>
      </c>
      <c r="AS32" s="89" t="str">
        <f t="shared" ca="1" si="173"/>
        <v/>
      </c>
      <c r="AT32" s="89" t="str">
        <f t="shared" ca="1" si="173"/>
        <v/>
      </c>
      <c r="AU32" s="89" t="str">
        <f t="shared" ca="1" si="173"/>
        <v/>
      </c>
      <c r="AV32" s="89" t="str">
        <f t="shared" ca="1" si="173"/>
        <v/>
      </c>
      <c r="AW32" s="89" t="str">
        <f t="shared" ca="1" si="173"/>
        <v/>
      </c>
      <c r="AX32" s="89" t="str">
        <f t="shared" ca="1" si="173"/>
        <v/>
      </c>
      <c r="AY32" s="89" t="str">
        <f t="shared" ca="1" si="173"/>
        <v/>
      </c>
      <c r="AZ32" s="89" t="str">
        <f t="shared" ca="1" si="173"/>
        <v/>
      </c>
      <c r="BA32" s="89" t="str">
        <f t="shared" ca="1" si="173"/>
        <v/>
      </c>
      <c r="BB32" s="89" t="str">
        <f t="shared" ca="1" si="173"/>
        <v/>
      </c>
      <c r="BC32" s="89" t="str">
        <f t="shared" ca="1" si="173"/>
        <v/>
      </c>
      <c r="BD32" s="89" t="str">
        <f t="shared" ca="1" si="173"/>
        <v/>
      </c>
      <c r="BE32" s="89" t="str">
        <f t="shared" ca="1" si="173"/>
        <v/>
      </c>
      <c r="BF32" s="89" t="str">
        <f t="shared" si="173"/>
        <v/>
      </c>
      <c r="BG32" s="89" t="str">
        <f t="shared" si="173"/>
        <v/>
      </c>
      <c r="BH32" s="89" t="str">
        <f t="shared" si="173"/>
        <v/>
      </c>
      <c r="BI32" s="89" t="str">
        <f t="shared" si="173"/>
        <v/>
      </c>
      <c r="BJ32" s="89" t="str">
        <f t="shared" si="173"/>
        <v/>
      </c>
      <c r="BK32" s="89" t="str">
        <f t="shared" si="173"/>
        <v/>
      </c>
      <c r="BL32" s="89" t="str">
        <f t="shared" si="173"/>
        <v/>
      </c>
      <c r="BM32" s="89" t="str">
        <f t="shared" si="173"/>
        <v/>
      </c>
      <c r="BN32" s="89" t="str">
        <f t="shared" si="173"/>
        <v/>
      </c>
      <c r="BO32" s="89" t="str">
        <f t="shared" si="173"/>
        <v/>
      </c>
      <c r="BP32" s="89" t="str">
        <f t="shared" si="173"/>
        <v/>
      </c>
      <c r="BQ32" s="89" t="str">
        <f t="shared" si="173"/>
        <v/>
      </c>
      <c r="BR32" s="89" t="str">
        <f t="shared" si="173"/>
        <v/>
      </c>
      <c r="BS32" s="89" t="str">
        <f t="shared" si="173"/>
        <v/>
      </c>
      <c r="BT32" s="89" t="str">
        <f t="shared" si="173"/>
        <v/>
      </c>
      <c r="BU32" s="89" t="str">
        <f t="shared" si="173"/>
        <v/>
      </c>
      <c r="BV32" s="89" t="str">
        <f t="shared" si="173"/>
        <v/>
      </c>
      <c r="BW32" s="89" t="str">
        <f t="shared" si="173"/>
        <v/>
      </c>
      <c r="BX32" s="89" t="str">
        <f t="shared" si="174"/>
        <v/>
      </c>
      <c r="BY32" s="89" t="str">
        <f t="shared" si="174"/>
        <v/>
      </c>
      <c r="BZ32" s="89" t="str">
        <f t="shared" si="174"/>
        <v/>
      </c>
      <c r="CA32" s="89" t="str">
        <f t="shared" si="174"/>
        <v/>
      </c>
      <c r="CB32" s="89" t="str">
        <f t="shared" si="174"/>
        <v/>
      </c>
      <c r="CC32" s="89" t="str">
        <f t="shared" si="174"/>
        <v/>
      </c>
      <c r="CD32" s="89" t="str">
        <f t="shared" si="174"/>
        <v/>
      </c>
      <c r="CE32" s="89" t="str">
        <f t="shared" si="174"/>
        <v/>
      </c>
      <c r="CF32" s="89" t="str">
        <f t="shared" si="174"/>
        <v/>
      </c>
      <c r="CG32" s="89" t="str">
        <f t="shared" si="174"/>
        <v/>
      </c>
      <c r="CH32" s="89" t="str">
        <f t="shared" si="174"/>
        <v/>
      </c>
      <c r="CI32" s="89" t="str">
        <f t="shared" si="174"/>
        <v/>
      </c>
      <c r="CJ32" s="89" t="str">
        <f t="shared" si="174"/>
        <v/>
      </c>
      <c r="CK32" s="89" t="str">
        <f t="shared" si="174"/>
        <v/>
      </c>
      <c r="CL32" s="89" t="str">
        <f t="shared" si="174"/>
        <v/>
      </c>
      <c r="CM32" s="89" t="str">
        <f t="shared" si="174"/>
        <v/>
      </c>
      <c r="CN32" s="89" t="str">
        <f t="shared" si="174"/>
        <v/>
      </c>
      <c r="CO32" s="89" t="str">
        <f t="shared" si="171"/>
        <v/>
      </c>
      <c r="CP32" s="89" t="str">
        <f t="shared" si="171"/>
        <v/>
      </c>
      <c r="CQ32" s="89" t="str">
        <f t="shared" si="171"/>
        <v/>
      </c>
      <c r="CR32" s="89" t="str">
        <f t="shared" si="171"/>
        <v/>
      </c>
      <c r="CS32" s="89" t="str">
        <f t="shared" si="171"/>
        <v/>
      </c>
      <c r="CT32" s="89" t="str">
        <f t="shared" si="171"/>
        <v/>
      </c>
      <c r="CU32" s="89" t="str">
        <f t="shared" si="145"/>
        <v/>
      </c>
      <c r="CV32" s="89" t="str">
        <f t="shared" si="145"/>
        <v/>
      </c>
      <c r="CW32" s="89" t="str">
        <f t="shared" ca="1" si="145"/>
        <v/>
      </c>
      <c r="CX32" s="89" t="str">
        <f t="shared" ca="1" si="145"/>
        <v/>
      </c>
      <c r="CY32" s="89" t="str">
        <f t="shared" ca="1" si="145"/>
        <v/>
      </c>
      <c r="CZ32" s="89" t="str">
        <f t="shared" ca="1" si="162"/>
        <v/>
      </c>
      <c r="DA32" s="89" t="str">
        <f t="shared" ca="1" si="162"/>
        <v/>
      </c>
      <c r="DB32" s="89" t="str">
        <f t="shared" ca="1" si="162"/>
        <v/>
      </c>
      <c r="DC32" s="89" t="str">
        <f t="shared" si="162"/>
        <v/>
      </c>
      <c r="DD32" s="89" t="str">
        <f t="shared" si="162"/>
        <v/>
      </c>
      <c r="DE32" s="89" t="str">
        <f t="shared" si="162"/>
        <v/>
      </c>
      <c r="DF32" s="89" t="str">
        <f t="shared" si="162"/>
        <v/>
      </c>
      <c r="DG32" s="89" t="str">
        <f t="shared" si="162"/>
        <v/>
      </c>
      <c r="DH32" s="89" t="str">
        <f t="shared" si="162"/>
        <v/>
      </c>
      <c r="DI32" s="89" t="str">
        <f t="shared" si="162"/>
        <v/>
      </c>
      <c r="DJ32" s="89" t="str">
        <f t="shared" si="162"/>
        <v/>
      </c>
      <c r="DK32" s="89" t="str">
        <f t="shared" si="162"/>
        <v/>
      </c>
      <c r="DL32" s="89" t="str">
        <f t="shared" si="162"/>
        <v/>
      </c>
      <c r="DM32" s="89" t="str">
        <f t="shared" si="162"/>
        <v/>
      </c>
      <c r="DN32" s="89" t="str">
        <f t="shared" si="162"/>
        <v/>
      </c>
      <c r="DO32" s="89" t="str">
        <f t="shared" si="162"/>
        <v/>
      </c>
      <c r="DP32" s="89" t="str">
        <f t="shared" si="162"/>
        <v/>
      </c>
      <c r="DQ32" s="89" t="str">
        <f t="shared" si="162"/>
        <v/>
      </c>
      <c r="DR32" s="89" t="str">
        <f t="shared" si="162"/>
        <v/>
      </c>
      <c r="DS32" s="89" t="str">
        <f t="shared" si="162"/>
        <v/>
      </c>
      <c r="DT32" s="89" t="str">
        <f t="shared" si="162"/>
        <v/>
      </c>
      <c r="DU32" s="89" t="str">
        <f t="shared" si="162"/>
        <v/>
      </c>
    </row>
    <row r="33" spans="1:125" outlineLevel="2">
      <c r="A33" s="13">
        <v>25</v>
      </c>
      <c r="B33" s="77" t="s">
        <v>149</v>
      </c>
      <c r="C33" s="15"/>
      <c r="D33" s="15"/>
      <c r="E33" s="15"/>
      <c r="F33" s="15"/>
      <c r="G33" s="15"/>
      <c r="H33" s="29">
        <v>0</v>
      </c>
      <c r="I33" s="15" t="s">
        <v>155</v>
      </c>
      <c r="J33" s="15" t="s">
        <v>165</v>
      </c>
      <c r="K33" s="14"/>
      <c r="L33" s="64"/>
      <c r="M33" t="str">
        <f t="shared" si="141"/>
        <v/>
      </c>
      <c r="N33" t="str">
        <f t="shared" si="141"/>
        <v/>
      </c>
      <c r="O33" t="str">
        <f t="shared" si="141"/>
        <v/>
      </c>
      <c r="P33" t="str">
        <f t="shared" si="173"/>
        <v/>
      </c>
      <c r="Q33" t="str">
        <f t="shared" si="173"/>
        <v/>
      </c>
      <c r="R33" t="str">
        <f t="shared" si="173"/>
        <v/>
      </c>
      <c r="S33" t="str">
        <f t="shared" si="173"/>
        <v/>
      </c>
      <c r="T33" t="str">
        <f t="shared" si="173"/>
        <v/>
      </c>
      <c r="U33" t="str">
        <f t="shared" si="173"/>
        <v/>
      </c>
      <c r="V33" t="str">
        <f t="shared" si="173"/>
        <v/>
      </c>
      <c r="W33" t="str">
        <f t="shared" si="173"/>
        <v/>
      </c>
      <c r="X33" t="str">
        <f t="shared" si="173"/>
        <v/>
      </c>
      <c r="Y33" t="str">
        <f t="shared" si="173"/>
        <v/>
      </c>
      <c r="Z33" t="str">
        <f t="shared" si="173"/>
        <v/>
      </c>
      <c r="AA33" t="str">
        <f t="shared" si="173"/>
        <v/>
      </c>
      <c r="AB33" t="str">
        <f t="shared" si="173"/>
        <v/>
      </c>
      <c r="AC33" t="str">
        <f t="shared" si="173"/>
        <v/>
      </c>
      <c r="AD33" t="str">
        <f t="shared" si="173"/>
        <v/>
      </c>
      <c r="AE33" t="str">
        <f t="shared" si="173"/>
        <v/>
      </c>
      <c r="AF33" t="str">
        <f t="shared" si="173"/>
        <v/>
      </c>
      <c r="AG33" t="str">
        <f t="shared" si="173"/>
        <v/>
      </c>
      <c r="AH33" t="str">
        <f t="shared" si="173"/>
        <v/>
      </c>
      <c r="AI33" t="str">
        <f t="shared" si="173"/>
        <v/>
      </c>
      <c r="AJ33" t="str">
        <f t="shared" si="173"/>
        <v/>
      </c>
      <c r="AK33" t="str">
        <f t="shared" si="173"/>
        <v/>
      </c>
      <c r="AL33" t="str">
        <f t="shared" si="173"/>
        <v/>
      </c>
      <c r="AM33" t="str">
        <f t="shared" si="173"/>
        <v/>
      </c>
      <c r="AN33" t="str">
        <f t="shared" si="173"/>
        <v/>
      </c>
      <c r="AO33" t="str">
        <f t="shared" si="173"/>
        <v/>
      </c>
      <c r="AP33" t="str">
        <f t="shared" si="173"/>
        <v/>
      </c>
      <c r="AQ33" t="str">
        <f t="shared" si="173"/>
        <v/>
      </c>
      <c r="AR33" t="str">
        <f t="shared" si="173"/>
        <v/>
      </c>
      <c r="AS33" t="str">
        <f t="shared" si="173"/>
        <v/>
      </c>
      <c r="AT33" t="str">
        <f t="shared" si="173"/>
        <v/>
      </c>
      <c r="AU33" t="str">
        <f t="shared" si="173"/>
        <v/>
      </c>
      <c r="AV33" t="str">
        <f t="shared" si="173"/>
        <v/>
      </c>
      <c r="AW33" t="str">
        <f t="shared" si="173"/>
        <v/>
      </c>
      <c r="AX33" t="str">
        <f t="shared" si="173"/>
        <v/>
      </c>
      <c r="AY33" t="str">
        <f t="shared" si="173"/>
        <v/>
      </c>
      <c r="AZ33" t="str">
        <f t="shared" si="173"/>
        <v/>
      </c>
      <c r="BA33" t="str">
        <f t="shared" si="173"/>
        <v/>
      </c>
      <c r="BB33" t="str">
        <f t="shared" si="173"/>
        <v/>
      </c>
      <c r="BC33" t="str">
        <f t="shared" si="173"/>
        <v/>
      </c>
      <c r="BD33" t="str">
        <f t="shared" si="173"/>
        <v/>
      </c>
      <c r="BE33" t="str">
        <f t="shared" si="173"/>
        <v/>
      </c>
      <c r="BF33" t="str">
        <f t="shared" si="173"/>
        <v/>
      </c>
      <c r="BG33" t="str">
        <f t="shared" si="173"/>
        <v/>
      </c>
      <c r="BH33" t="str">
        <f t="shared" si="173"/>
        <v/>
      </c>
      <c r="BI33" t="str">
        <f t="shared" si="173"/>
        <v/>
      </c>
      <c r="BJ33" t="str">
        <f t="shared" si="173"/>
        <v/>
      </c>
      <c r="BK33" t="str">
        <f t="shared" si="173"/>
        <v/>
      </c>
      <c r="BL33" t="str">
        <f t="shared" si="173"/>
        <v/>
      </c>
      <c r="BM33" t="str">
        <f t="shared" si="173"/>
        <v/>
      </c>
      <c r="BN33" t="str">
        <f t="shared" si="173"/>
        <v/>
      </c>
      <c r="BO33" t="str">
        <f t="shared" si="173"/>
        <v/>
      </c>
      <c r="BP33" t="str">
        <f t="shared" si="173"/>
        <v/>
      </c>
      <c r="BQ33" t="str">
        <f t="shared" si="173"/>
        <v/>
      </c>
      <c r="BR33" t="str">
        <f t="shared" si="173"/>
        <v/>
      </c>
      <c r="BS33" t="str">
        <f t="shared" si="173"/>
        <v/>
      </c>
      <c r="BT33" t="str">
        <f t="shared" si="173"/>
        <v/>
      </c>
      <c r="BU33" t="str">
        <f t="shared" si="173"/>
        <v/>
      </c>
      <c r="BV33" t="str">
        <f t="shared" si="173"/>
        <v/>
      </c>
      <c r="BW33" t="str">
        <f t="shared" si="173"/>
        <v/>
      </c>
      <c r="BX33" t="str">
        <f t="shared" si="174"/>
        <v/>
      </c>
      <c r="BY33" t="str">
        <f t="shared" si="174"/>
        <v/>
      </c>
      <c r="BZ33" t="str">
        <f t="shared" si="174"/>
        <v/>
      </c>
      <c r="CA33" t="str">
        <f t="shared" si="174"/>
        <v/>
      </c>
      <c r="CB33" t="str">
        <f t="shared" si="174"/>
        <v/>
      </c>
      <c r="CC33" t="str">
        <f t="shared" si="174"/>
        <v/>
      </c>
      <c r="CD33" t="str">
        <f t="shared" si="174"/>
        <v/>
      </c>
      <c r="CE33" t="str">
        <f t="shared" si="174"/>
        <v/>
      </c>
      <c r="CF33" t="str">
        <f t="shared" si="174"/>
        <v/>
      </c>
      <c r="CG33" t="str">
        <f t="shared" si="174"/>
        <v/>
      </c>
      <c r="CH33" t="str">
        <f t="shared" si="174"/>
        <v/>
      </c>
      <c r="CI33" t="str">
        <f t="shared" si="174"/>
        <v/>
      </c>
      <c r="CJ33" t="str">
        <f t="shared" si="174"/>
        <v/>
      </c>
      <c r="CK33" t="str">
        <f t="shared" si="174"/>
        <v/>
      </c>
      <c r="CL33" t="str">
        <f t="shared" si="174"/>
        <v/>
      </c>
      <c r="CM33" t="str">
        <f t="shared" si="174"/>
        <v/>
      </c>
      <c r="CN33" t="str">
        <f t="shared" si="174"/>
        <v/>
      </c>
      <c r="CO33" t="str">
        <f t="shared" si="171"/>
        <v/>
      </c>
      <c r="CP33" t="str">
        <f t="shared" si="171"/>
        <v/>
      </c>
      <c r="CQ33" t="str">
        <f t="shared" si="171"/>
        <v/>
      </c>
      <c r="CR33" t="str">
        <f t="shared" si="171"/>
        <v/>
      </c>
      <c r="CS33" t="str">
        <f t="shared" si="171"/>
        <v/>
      </c>
      <c r="CT33" t="str">
        <f t="shared" si="171"/>
        <v/>
      </c>
      <c r="CU33" t="str">
        <f t="shared" si="145"/>
        <v/>
      </c>
      <c r="CV33" t="str">
        <f t="shared" si="145"/>
        <v/>
      </c>
      <c r="CW33" t="str">
        <f t="shared" si="145"/>
        <v/>
      </c>
      <c r="CX33" t="str">
        <f t="shared" si="145"/>
        <v/>
      </c>
      <c r="CY33" t="str">
        <f t="shared" si="145"/>
        <v/>
      </c>
      <c r="CZ33" t="str">
        <f t="shared" si="162"/>
        <v/>
      </c>
      <c r="DA33" t="str">
        <f t="shared" si="162"/>
        <v/>
      </c>
      <c r="DB33" t="str">
        <f t="shared" si="162"/>
        <v/>
      </c>
      <c r="DC33" t="str">
        <f t="shared" si="162"/>
        <v/>
      </c>
      <c r="DD33" t="str">
        <f t="shared" si="162"/>
        <v/>
      </c>
      <c r="DE33" t="str">
        <f t="shared" si="162"/>
        <v/>
      </c>
      <c r="DF33" t="str">
        <f t="shared" si="162"/>
        <v/>
      </c>
      <c r="DG33" t="str">
        <f t="shared" si="162"/>
        <v/>
      </c>
      <c r="DH33" t="str">
        <f t="shared" si="162"/>
        <v/>
      </c>
      <c r="DI33" t="str">
        <f t="shared" si="162"/>
        <v/>
      </c>
      <c r="DJ33" t="str">
        <f t="shared" si="162"/>
        <v/>
      </c>
      <c r="DK33" t="str">
        <f t="shared" si="162"/>
        <v/>
      </c>
      <c r="DL33" t="str">
        <f t="shared" si="162"/>
        <v/>
      </c>
      <c r="DM33" t="str">
        <f t="shared" si="162"/>
        <v/>
      </c>
      <c r="DN33" t="str">
        <f t="shared" si="162"/>
        <v/>
      </c>
      <c r="DO33" t="str">
        <f t="shared" si="162"/>
        <v/>
      </c>
      <c r="DP33" t="str">
        <f t="shared" si="162"/>
        <v/>
      </c>
      <c r="DQ33" t="str">
        <f t="shared" si="162"/>
        <v/>
      </c>
      <c r="DR33" t="str">
        <f t="shared" si="162"/>
        <v/>
      </c>
      <c r="DS33" t="str">
        <f t="shared" si="162"/>
        <v/>
      </c>
      <c r="DT33" t="str">
        <f t="shared" si="162"/>
        <v/>
      </c>
      <c r="DU33" t="str">
        <f t="shared" si="162"/>
        <v/>
      </c>
    </row>
    <row r="34" spans="1:125" outlineLevel="2">
      <c r="A34" s="13">
        <v>26</v>
      </c>
      <c r="B34" s="77" t="s">
        <v>156</v>
      </c>
      <c r="C34" s="15"/>
      <c r="D34" s="15"/>
      <c r="E34" s="15"/>
      <c r="F34" s="15"/>
      <c r="G34" s="15"/>
      <c r="H34" s="29">
        <v>0</v>
      </c>
      <c r="I34" s="15" t="s">
        <v>155</v>
      </c>
      <c r="J34" s="15" t="s">
        <v>165</v>
      </c>
      <c r="K34" s="14"/>
      <c r="L34" s="64"/>
      <c r="M34" t="str">
        <f t="shared" si="141"/>
        <v/>
      </c>
      <c r="N34" t="str">
        <f t="shared" si="141"/>
        <v/>
      </c>
      <c r="O34" t="str">
        <f t="shared" si="141"/>
        <v/>
      </c>
      <c r="P34" t="str">
        <f t="shared" si="173"/>
        <v/>
      </c>
      <c r="Q34" t="str">
        <f t="shared" si="173"/>
        <v/>
      </c>
      <c r="R34" t="str">
        <f t="shared" si="173"/>
        <v/>
      </c>
      <c r="S34" t="str">
        <f t="shared" si="173"/>
        <v/>
      </c>
      <c r="T34" t="str">
        <f t="shared" si="173"/>
        <v/>
      </c>
      <c r="U34" t="str">
        <f t="shared" si="173"/>
        <v/>
      </c>
      <c r="V34" t="str">
        <f t="shared" si="173"/>
        <v/>
      </c>
      <c r="W34" t="str">
        <f t="shared" si="173"/>
        <v/>
      </c>
      <c r="X34" t="str">
        <f t="shared" si="173"/>
        <v/>
      </c>
      <c r="Y34" t="str">
        <f t="shared" si="173"/>
        <v/>
      </c>
      <c r="Z34" t="str">
        <f t="shared" si="173"/>
        <v/>
      </c>
      <c r="AA34" t="str">
        <f t="shared" si="173"/>
        <v/>
      </c>
      <c r="AB34" t="str">
        <f t="shared" si="173"/>
        <v/>
      </c>
      <c r="AC34" t="str">
        <f t="shared" si="173"/>
        <v/>
      </c>
      <c r="AD34" t="str">
        <f t="shared" si="173"/>
        <v/>
      </c>
      <c r="AE34" t="str">
        <f t="shared" si="173"/>
        <v/>
      </c>
      <c r="AF34" t="str">
        <f t="shared" si="173"/>
        <v/>
      </c>
      <c r="AG34" t="str">
        <f t="shared" si="173"/>
        <v/>
      </c>
      <c r="AH34" t="str">
        <f t="shared" si="173"/>
        <v/>
      </c>
      <c r="AI34" t="str">
        <f t="shared" si="173"/>
        <v/>
      </c>
      <c r="AJ34" t="str">
        <f t="shared" si="173"/>
        <v/>
      </c>
      <c r="AK34" t="str">
        <f t="shared" si="173"/>
        <v/>
      </c>
      <c r="AL34" t="str">
        <f t="shared" si="173"/>
        <v/>
      </c>
      <c r="AM34" t="str">
        <f t="shared" si="173"/>
        <v/>
      </c>
      <c r="AN34" t="str">
        <f t="shared" si="173"/>
        <v/>
      </c>
      <c r="AO34" t="str">
        <f t="shared" si="173"/>
        <v/>
      </c>
      <c r="AP34" t="str">
        <f t="shared" si="173"/>
        <v/>
      </c>
      <c r="AQ34" t="str">
        <f t="shared" si="173"/>
        <v/>
      </c>
      <c r="AR34" t="str">
        <f t="shared" si="173"/>
        <v/>
      </c>
      <c r="AS34" t="str">
        <f t="shared" si="173"/>
        <v/>
      </c>
      <c r="AT34" t="str">
        <f t="shared" si="173"/>
        <v/>
      </c>
      <c r="AU34" t="str">
        <f t="shared" si="173"/>
        <v/>
      </c>
      <c r="AV34" t="str">
        <f t="shared" si="173"/>
        <v/>
      </c>
      <c r="AW34" t="str">
        <f t="shared" si="173"/>
        <v/>
      </c>
      <c r="AX34" t="str">
        <f t="shared" si="173"/>
        <v/>
      </c>
      <c r="AY34" t="str">
        <f t="shared" si="173"/>
        <v/>
      </c>
      <c r="AZ34" t="str">
        <f t="shared" si="173"/>
        <v/>
      </c>
      <c r="BA34" t="str">
        <f t="shared" si="173"/>
        <v/>
      </c>
      <c r="BB34" t="str">
        <f t="shared" si="173"/>
        <v/>
      </c>
      <c r="BC34" t="str">
        <f t="shared" si="173"/>
        <v/>
      </c>
      <c r="BD34" t="str">
        <f t="shared" si="173"/>
        <v/>
      </c>
      <c r="BE34" t="str">
        <f t="shared" si="173"/>
        <v/>
      </c>
      <c r="BF34" t="str">
        <f t="shared" si="173"/>
        <v/>
      </c>
      <c r="BG34" t="str">
        <f t="shared" si="173"/>
        <v/>
      </c>
      <c r="BH34" t="str">
        <f t="shared" si="173"/>
        <v/>
      </c>
      <c r="BI34" t="str">
        <f t="shared" si="173"/>
        <v/>
      </c>
      <c r="BJ34" t="str">
        <f t="shared" si="173"/>
        <v/>
      </c>
      <c r="BK34" t="str">
        <f t="shared" si="173"/>
        <v/>
      </c>
      <c r="BL34" t="str">
        <f t="shared" si="173"/>
        <v/>
      </c>
      <c r="BM34" t="str">
        <f t="shared" si="173"/>
        <v/>
      </c>
      <c r="BN34" t="str">
        <f t="shared" si="173"/>
        <v/>
      </c>
      <c r="BO34" t="str">
        <f t="shared" si="173"/>
        <v/>
      </c>
      <c r="BP34" t="str">
        <f t="shared" si="173"/>
        <v/>
      </c>
      <c r="BQ34" t="str">
        <f t="shared" si="173"/>
        <v/>
      </c>
      <c r="BR34" t="str">
        <f t="shared" si="173"/>
        <v/>
      </c>
      <c r="BS34" t="str">
        <f t="shared" si="173"/>
        <v/>
      </c>
      <c r="BT34" t="str">
        <f t="shared" si="173"/>
        <v/>
      </c>
      <c r="BU34" t="str">
        <f t="shared" si="173"/>
        <v/>
      </c>
      <c r="BV34" t="str">
        <f t="shared" si="173"/>
        <v/>
      </c>
      <c r="BW34" t="str">
        <f t="shared" si="173"/>
        <v/>
      </c>
      <c r="BX34" t="str">
        <f t="shared" si="174"/>
        <v/>
      </c>
      <c r="BY34" t="str">
        <f t="shared" si="174"/>
        <v/>
      </c>
      <c r="BZ34" t="str">
        <f t="shared" si="174"/>
        <v/>
      </c>
      <c r="CA34" t="str">
        <f t="shared" si="174"/>
        <v/>
      </c>
      <c r="CB34" t="str">
        <f t="shared" si="174"/>
        <v/>
      </c>
      <c r="CC34" t="str">
        <f t="shared" si="174"/>
        <v/>
      </c>
      <c r="CD34" t="str">
        <f t="shared" si="174"/>
        <v/>
      </c>
      <c r="CE34" t="str">
        <f t="shared" si="174"/>
        <v/>
      </c>
      <c r="CF34" t="str">
        <f t="shared" si="174"/>
        <v/>
      </c>
      <c r="CG34" t="str">
        <f t="shared" si="174"/>
        <v/>
      </c>
      <c r="CH34" t="str">
        <f t="shared" si="174"/>
        <v/>
      </c>
      <c r="CI34" t="str">
        <f t="shared" si="174"/>
        <v/>
      </c>
      <c r="CJ34" t="str">
        <f t="shared" si="174"/>
        <v/>
      </c>
      <c r="CK34" t="str">
        <f t="shared" si="174"/>
        <v/>
      </c>
      <c r="CL34" t="str">
        <f t="shared" si="174"/>
        <v/>
      </c>
      <c r="CM34" t="str">
        <f t="shared" si="174"/>
        <v/>
      </c>
      <c r="CN34" t="str">
        <f t="shared" si="174"/>
        <v/>
      </c>
      <c r="CO34" t="str">
        <f t="shared" ref="CO34:CT36" si="175">IF(CO$7&lt;=$E34,IF(CO$7&gt;=$D34,IF(((CO$7-$D34+1)/($E34-$D34+1))&lt;=$H34,$E$5,IF(CO$7&lt;$I$1,$H$5,"")),""),"")</f>
        <v/>
      </c>
      <c r="CP34" t="str">
        <f t="shared" si="175"/>
        <v/>
      </c>
      <c r="CQ34" t="str">
        <f t="shared" si="175"/>
        <v/>
      </c>
      <c r="CR34" t="str">
        <f t="shared" si="175"/>
        <v/>
      </c>
      <c r="CS34" t="str">
        <f t="shared" si="175"/>
        <v/>
      </c>
      <c r="CT34" t="str">
        <f t="shared" si="175"/>
        <v/>
      </c>
      <c r="CU34" t="str">
        <f t="shared" si="145"/>
        <v/>
      </c>
      <c r="CV34" t="str">
        <f t="shared" si="145"/>
        <v/>
      </c>
      <c r="CW34" t="str">
        <f t="shared" si="145"/>
        <v/>
      </c>
      <c r="CX34" t="str">
        <f t="shared" si="145"/>
        <v/>
      </c>
      <c r="CY34" t="str">
        <f t="shared" si="145"/>
        <v/>
      </c>
      <c r="CZ34" t="str">
        <f t="shared" si="162"/>
        <v/>
      </c>
      <c r="DA34" t="str">
        <f t="shared" si="162"/>
        <v/>
      </c>
      <c r="DB34" t="str">
        <f t="shared" si="162"/>
        <v/>
      </c>
      <c r="DC34" t="str">
        <f t="shared" si="162"/>
        <v/>
      </c>
      <c r="DD34" t="str">
        <f t="shared" si="162"/>
        <v/>
      </c>
      <c r="DE34" t="str">
        <f t="shared" si="162"/>
        <v/>
      </c>
      <c r="DF34" t="str">
        <f t="shared" si="162"/>
        <v/>
      </c>
      <c r="DG34" t="str">
        <f t="shared" si="162"/>
        <v/>
      </c>
      <c r="DH34" t="str">
        <f t="shared" si="162"/>
        <v/>
      </c>
      <c r="DI34" t="str">
        <f t="shared" si="162"/>
        <v/>
      </c>
      <c r="DJ34" t="str">
        <f t="shared" si="162"/>
        <v/>
      </c>
      <c r="DK34" t="str">
        <f t="shared" si="162"/>
        <v/>
      </c>
      <c r="DL34" t="str">
        <f t="shared" si="162"/>
        <v/>
      </c>
      <c r="DM34" t="str">
        <f t="shared" si="162"/>
        <v/>
      </c>
      <c r="DN34" t="str">
        <f t="shared" si="162"/>
        <v/>
      </c>
      <c r="DO34" t="str">
        <f t="shared" si="162"/>
        <v/>
      </c>
      <c r="DP34" t="str">
        <f t="shared" si="162"/>
        <v/>
      </c>
      <c r="DQ34" t="str">
        <f t="shared" si="162"/>
        <v/>
      </c>
      <c r="DR34" t="str">
        <f t="shared" si="162"/>
        <v/>
      </c>
      <c r="DS34" t="str">
        <f t="shared" si="162"/>
        <v/>
      </c>
      <c r="DT34" t="str">
        <f t="shared" si="162"/>
        <v/>
      </c>
      <c r="DU34" t="str">
        <f t="shared" si="162"/>
        <v/>
      </c>
    </row>
    <row r="35" spans="1:125" outlineLevel="2">
      <c r="A35" s="13">
        <v>27</v>
      </c>
      <c r="B35" s="77" t="s">
        <v>160</v>
      </c>
      <c r="C35" s="15"/>
      <c r="D35" s="15"/>
      <c r="E35" s="15"/>
      <c r="F35" s="15"/>
      <c r="G35" s="15"/>
      <c r="H35" s="29">
        <v>0</v>
      </c>
      <c r="I35" s="15" t="s">
        <v>155</v>
      </c>
      <c r="J35" s="15" t="s">
        <v>165</v>
      </c>
      <c r="K35" s="14"/>
      <c r="L35" s="64"/>
      <c r="M35" t="str">
        <f t="shared" ref="M35:BX39" si="176">IF(M$7&lt;=$E35,IF(M$7&gt;=$D35,IF(((M$7-$D35+1)/($E35-$D35+1))&lt;=$H35,$E$5,IF(M$7&lt;$I$1,$H$5,"")),""),"")</f>
        <v/>
      </c>
      <c r="N35" t="str">
        <f t="shared" si="176"/>
        <v/>
      </c>
      <c r="O35" t="str">
        <f t="shared" si="176"/>
        <v/>
      </c>
      <c r="P35" t="str">
        <f t="shared" si="176"/>
        <v/>
      </c>
      <c r="Q35" t="str">
        <f t="shared" si="176"/>
        <v/>
      </c>
      <c r="R35" t="str">
        <f t="shared" si="176"/>
        <v/>
      </c>
      <c r="S35" t="str">
        <f t="shared" si="176"/>
        <v/>
      </c>
      <c r="T35" t="str">
        <f t="shared" si="176"/>
        <v/>
      </c>
      <c r="U35" t="str">
        <f t="shared" si="176"/>
        <v/>
      </c>
      <c r="V35" t="str">
        <f t="shared" si="176"/>
        <v/>
      </c>
      <c r="W35" t="str">
        <f t="shared" si="176"/>
        <v/>
      </c>
      <c r="X35" t="str">
        <f t="shared" si="176"/>
        <v/>
      </c>
      <c r="Y35" t="str">
        <f t="shared" si="176"/>
        <v/>
      </c>
      <c r="Z35" t="str">
        <f t="shared" si="176"/>
        <v/>
      </c>
      <c r="AA35" t="str">
        <f t="shared" si="176"/>
        <v/>
      </c>
      <c r="AB35" t="str">
        <f t="shared" si="176"/>
        <v/>
      </c>
      <c r="AC35" t="str">
        <f t="shared" si="176"/>
        <v/>
      </c>
      <c r="AD35" t="str">
        <f t="shared" si="176"/>
        <v/>
      </c>
      <c r="AE35" t="str">
        <f t="shared" si="176"/>
        <v/>
      </c>
      <c r="AF35" t="str">
        <f t="shared" si="176"/>
        <v/>
      </c>
      <c r="AG35" t="str">
        <f t="shared" si="176"/>
        <v/>
      </c>
      <c r="AH35" t="str">
        <f t="shared" si="176"/>
        <v/>
      </c>
      <c r="AI35" t="str">
        <f t="shared" si="176"/>
        <v/>
      </c>
      <c r="AJ35" t="str">
        <f t="shared" si="176"/>
        <v/>
      </c>
      <c r="AK35" t="str">
        <f t="shared" si="176"/>
        <v/>
      </c>
      <c r="AL35" t="str">
        <f t="shared" si="176"/>
        <v/>
      </c>
      <c r="AM35" t="str">
        <f t="shared" si="176"/>
        <v/>
      </c>
      <c r="AN35" t="str">
        <f t="shared" si="176"/>
        <v/>
      </c>
      <c r="AO35" t="str">
        <f t="shared" si="176"/>
        <v/>
      </c>
      <c r="AP35" t="str">
        <f t="shared" si="176"/>
        <v/>
      </c>
      <c r="AQ35" t="str">
        <f t="shared" si="176"/>
        <v/>
      </c>
      <c r="AR35" t="str">
        <f t="shared" si="176"/>
        <v/>
      </c>
      <c r="AS35" t="str">
        <f t="shared" si="176"/>
        <v/>
      </c>
      <c r="AT35" t="str">
        <f t="shared" si="176"/>
        <v/>
      </c>
      <c r="AU35" t="str">
        <f t="shared" si="176"/>
        <v/>
      </c>
      <c r="AV35" t="str">
        <f t="shared" si="176"/>
        <v/>
      </c>
      <c r="AW35" t="str">
        <f t="shared" si="176"/>
        <v/>
      </c>
      <c r="AX35" t="str">
        <f t="shared" si="176"/>
        <v/>
      </c>
      <c r="AY35" t="str">
        <f t="shared" si="176"/>
        <v/>
      </c>
      <c r="AZ35" t="str">
        <f t="shared" si="176"/>
        <v/>
      </c>
      <c r="BA35" t="str">
        <f t="shared" si="176"/>
        <v/>
      </c>
      <c r="BB35" t="str">
        <f t="shared" si="176"/>
        <v/>
      </c>
      <c r="BC35" t="str">
        <f t="shared" si="176"/>
        <v/>
      </c>
      <c r="BD35" t="str">
        <f t="shared" si="176"/>
        <v/>
      </c>
      <c r="BE35" t="str">
        <f t="shared" si="176"/>
        <v/>
      </c>
      <c r="BF35" t="str">
        <f t="shared" si="176"/>
        <v/>
      </c>
      <c r="BG35" t="str">
        <f t="shared" si="176"/>
        <v/>
      </c>
      <c r="BH35" t="str">
        <f t="shared" si="176"/>
        <v/>
      </c>
      <c r="BI35" t="str">
        <f t="shared" si="176"/>
        <v/>
      </c>
      <c r="BJ35" t="str">
        <f t="shared" si="176"/>
        <v/>
      </c>
      <c r="BK35" t="str">
        <f t="shared" si="176"/>
        <v/>
      </c>
      <c r="BL35" t="str">
        <f t="shared" si="176"/>
        <v/>
      </c>
      <c r="BM35" t="str">
        <f t="shared" si="176"/>
        <v/>
      </c>
      <c r="BN35" t="str">
        <f t="shared" si="176"/>
        <v/>
      </c>
      <c r="BO35" t="str">
        <f t="shared" si="176"/>
        <v/>
      </c>
      <c r="BP35" t="str">
        <f t="shared" si="176"/>
        <v/>
      </c>
      <c r="BQ35" t="str">
        <f t="shared" si="176"/>
        <v/>
      </c>
      <c r="BR35" t="str">
        <f t="shared" si="176"/>
        <v/>
      </c>
      <c r="BS35" t="str">
        <f t="shared" si="176"/>
        <v/>
      </c>
      <c r="BT35" t="str">
        <f t="shared" si="176"/>
        <v/>
      </c>
      <c r="BU35" t="str">
        <f t="shared" si="176"/>
        <v/>
      </c>
      <c r="BV35" t="str">
        <f t="shared" si="176"/>
        <v/>
      </c>
      <c r="BW35" t="str">
        <f t="shared" si="176"/>
        <v/>
      </c>
      <c r="BX35" t="str">
        <f t="shared" si="176"/>
        <v/>
      </c>
      <c r="BY35" t="str">
        <f t="shared" si="174"/>
        <v/>
      </c>
      <c r="BZ35" t="str">
        <f t="shared" si="174"/>
        <v/>
      </c>
      <c r="CA35" t="str">
        <f t="shared" si="174"/>
        <v/>
      </c>
      <c r="CB35" t="str">
        <f t="shared" si="174"/>
        <v/>
      </c>
      <c r="CC35" t="str">
        <f t="shared" si="174"/>
        <v/>
      </c>
      <c r="CD35" t="str">
        <f t="shared" si="174"/>
        <v/>
      </c>
      <c r="CE35" t="str">
        <f t="shared" si="174"/>
        <v/>
      </c>
      <c r="CF35" t="str">
        <f t="shared" si="174"/>
        <v/>
      </c>
      <c r="CG35" t="str">
        <f t="shared" si="174"/>
        <v/>
      </c>
      <c r="CH35" t="str">
        <f t="shared" si="174"/>
        <v/>
      </c>
      <c r="CI35" t="str">
        <f t="shared" si="174"/>
        <v/>
      </c>
      <c r="CJ35" t="str">
        <f t="shared" si="174"/>
        <v/>
      </c>
      <c r="CK35" t="str">
        <f t="shared" si="174"/>
        <v/>
      </c>
      <c r="CL35" t="str">
        <f t="shared" si="174"/>
        <v/>
      </c>
      <c r="CM35" t="str">
        <f t="shared" si="174"/>
        <v/>
      </c>
      <c r="CN35" t="str">
        <f t="shared" si="174"/>
        <v/>
      </c>
      <c r="CO35" t="str">
        <f t="shared" si="175"/>
        <v/>
      </c>
      <c r="CP35" t="str">
        <f t="shared" si="175"/>
        <v/>
      </c>
      <c r="CQ35" t="str">
        <f t="shared" si="175"/>
        <v/>
      </c>
      <c r="CR35" t="str">
        <f t="shared" si="175"/>
        <v/>
      </c>
      <c r="CS35" t="str">
        <f t="shared" si="175"/>
        <v/>
      </c>
      <c r="CT35" t="str">
        <f t="shared" si="175"/>
        <v/>
      </c>
      <c r="CU35" t="str">
        <f t="shared" ref="CU35:DU42" si="177">IF(AND(CU$7&lt;=$E35,CU$7+6&gt;=$D35),IF((((IF(CU$7&gt;$D35,CU$7-$D35+1,1))+(IF(AND($I$1&gt;CU$7,$I$1&lt;=CU$7+6),IF(CU$7&gt;$I$1,$I$1-CU$7,0),0)))/($E35-$D35+1))&lt;=$H35,$E$5,IF(CU$7&lt;$I$1,$H$5,"")),"")</f>
        <v/>
      </c>
      <c r="CV35" t="str">
        <f t="shared" si="177"/>
        <v/>
      </c>
      <c r="CW35" t="str">
        <f t="shared" si="177"/>
        <v/>
      </c>
      <c r="CX35" t="str">
        <f t="shared" si="177"/>
        <v/>
      </c>
      <c r="CY35" t="str">
        <f t="shared" si="177"/>
        <v/>
      </c>
      <c r="CZ35" t="str">
        <f t="shared" si="177"/>
        <v/>
      </c>
      <c r="DA35" t="str">
        <f t="shared" si="177"/>
        <v/>
      </c>
      <c r="DB35" t="str">
        <f t="shared" si="177"/>
        <v/>
      </c>
      <c r="DC35" t="str">
        <f t="shared" si="177"/>
        <v/>
      </c>
      <c r="DD35" t="str">
        <f t="shared" si="177"/>
        <v/>
      </c>
      <c r="DE35" t="str">
        <f t="shared" si="177"/>
        <v/>
      </c>
      <c r="DF35" t="str">
        <f t="shared" si="177"/>
        <v/>
      </c>
      <c r="DG35" t="str">
        <f t="shared" si="177"/>
        <v/>
      </c>
      <c r="DH35" t="str">
        <f t="shared" si="177"/>
        <v/>
      </c>
      <c r="DI35" t="str">
        <f t="shared" si="177"/>
        <v/>
      </c>
      <c r="DJ35" t="str">
        <f t="shared" si="177"/>
        <v/>
      </c>
      <c r="DK35" t="str">
        <f t="shared" si="177"/>
        <v/>
      </c>
      <c r="DL35" t="str">
        <f t="shared" si="177"/>
        <v/>
      </c>
      <c r="DM35" t="str">
        <f t="shared" si="177"/>
        <v/>
      </c>
      <c r="DN35" t="str">
        <f t="shared" si="177"/>
        <v/>
      </c>
      <c r="DO35" t="str">
        <f t="shared" si="177"/>
        <v/>
      </c>
      <c r="DP35" t="str">
        <f t="shared" si="177"/>
        <v/>
      </c>
      <c r="DQ35" t="str">
        <f t="shared" si="177"/>
        <v/>
      </c>
      <c r="DR35" t="str">
        <f t="shared" si="177"/>
        <v/>
      </c>
      <c r="DS35" t="str">
        <f t="shared" si="177"/>
        <v/>
      </c>
      <c r="DT35" t="str">
        <f t="shared" si="177"/>
        <v/>
      </c>
      <c r="DU35" t="str">
        <f t="shared" si="177"/>
        <v/>
      </c>
    </row>
    <row r="36" spans="1:125" outlineLevel="2">
      <c r="A36" s="78">
        <v>28</v>
      </c>
      <c r="B36" s="77" t="s">
        <v>169</v>
      </c>
      <c r="C36" s="15"/>
      <c r="D36" s="15"/>
      <c r="E36" s="15"/>
      <c r="F36" s="15"/>
      <c r="G36" s="15"/>
      <c r="H36" s="29">
        <v>0</v>
      </c>
      <c r="I36" s="15" t="s">
        <v>155</v>
      </c>
      <c r="J36" s="15" t="s">
        <v>168</v>
      </c>
      <c r="K36" s="14"/>
      <c r="L36" s="64"/>
      <c r="M36" t="str">
        <f t="shared" si="141"/>
        <v/>
      </c>
      <c r="N36" t="str">
        <f t="shared" si="141"/>
        <v/>
      </c>
      <c r="O36" t="str">
        <f t="shared" si="142"/>
        <v/>
      </c>
      <c r="P36" t="str">
        <f t="shared" si="172"/>
        <v/>
      </c>
      <c r="Q36" t="str">
        <f t="shared" si="172"/>
        <v/>
      </c>
      <c r="R36" t="str">
        <f t="shared" si="172"/>
        <v/>
      </c>
      <c r="S36" t="str">
        <f t="shared" si="172"/>
        <v/>
      </c>
      <c r="T36" t="str">
        <f t="shared" si="172"/>
        <v/>
      </c>
      <c r="U36" t="str">
        <f t="shared" si="172"/>
        <v/>
      </c>
      <c r="V36" t="str">
        <f t="shared" si="172"/>
        <v/>
      </c>
      <c r="W36" t="str">
        <f t="shared" si="172"/>
        <v/>
      </c>
      <c r="X36" t="str">
        <f t="shared" si="172"/>
        <v/>
      </c>
      <c r="Y36" t="str">
        <f t="shared" si="172"/>
        <v/>
      </c>
      <c r="Z36" t="str">
        <f t="shared" si="172"/>
        <v/>
      </c>
      <c r="AA36" t="str">
        <f t="shared" si="172"/>
        <v/>
      </c>
      <c r="AB36" t="str">
        <f t="shared" si="172"/>
        <v/>
      </c>
      <c r="AC36" t="str">
        <f t="shared" si="172"/>
        <v/>
      </c>
      <c r="AD36" t="str">
        <f t="shared" si="172"/>
        <v/>
      </c>
      <c r="AE36" t="str">
        <f t="shared" si="172"/>
        <v/>
      </c>
      <c r="AF36" t="str">
        <f t="shared" si="172"/>
        <v/>
      </c>
      <c r="AG36" t="str">
        <f t="shared" si="172"/>
        <v/>
      </c>
      <c r="AH36" t="str">
        <f t="shared" si="172"/>
        <v/>
      </c>
      <c r="AI36" t="str">
        <f t="shared" si="172"/>
        <v/>
      </c>
      <c r="AJ36" t="str">
        <f t="shared" si="172"/>
        <v/>
      </c>
      <c r="AK36" t="str">
        <f t="shared" si="172"/>
        <v/>
      </c>
      <c r="AL36" t="str">
        <f t="shared" si="172"/>
        <v/>
      </c>
      <c r="AM36" t="str">
        <f t="shared" si="172"/>
        <v/>
      </c>
      <c r="AN36" t="str">
        <f t="shared" si="172"/>
        <v/>
      </c>
      <c r="AO36" t="str">
        <f t="shared" si="172"/>
        <v/>
      </c>
      <c r="AP36" t="str">
        <f t="shared" si="172"/>
        <v/>
      </c>
      <c r="AQ36" t="str">
        <f t="shared" si="172"/>
        <v/>
      </c>
      <c r="AR36" t="str">
        <f t="shared" si="172"/>
        <v/>
      </c>
      <c r="AS36" t="str">
        <f t="shared" si="172"/>
        <v/>
      </c>
      <c r="AT36" t="str">
        <f t="shared" si="172"/>
        <v/>
      </c>
      <c r="AU36" t="str">
        <f t="shared" si="172"/>
        <v/>
      </c>
      <c r="AV36" t="str">
        <f t="shared" si="172"/>
        <v/>
      </c>
      <c r="AW36" t="str">
        <f t="shared" si="172"/>
        <v/>
      </c>
      <c r="AX36" t="str">
        <f t="shared" si="172"/>
        <v/>
      </c>
      <c r="AY36" t="str">
        <f t="shared" si="172"/>
        <v/>
      </c>
      <c r="AZ36" t="str">
        <f t="shared" si="172"/>
        <v/>
      </c>
      <c r="BA36" t="str">
        <f t="shared" si="172"/>
        <v/>
      </c>
      <c r="BB36" t="str">
        <f t="shared" si="172"/>
        <v/>
      </c>
      <c r="BC36" t="str">
        <f t="shared" si="172"/>
        <v/>
      </c>
      <c r="BD36" t="str">
        <f t="shared" si="172"/>
        <v/>
      </c>
      <c r="BE36" t="str">
        <f t="shared" si="172"/>
        <v/>
      </c>
      <c r="BF36" t="str">
        <f t="shared" si="172"/>
        <v/>
      </c>
      <c r="BG36" t="str">
        <f t="shared" si="172"/>
        <v/>
      </c>
      <c r="BH36" t="str">
        <f t="shared" si="172"/>
        <v/>
      </c>
      <c r="BI36" t="str">
        <f t="shared" si="172"/>
        <v/>
      </c>
      <c r="BJ36" t="str">
        <f t="shared" si="172"/>
        <v/>
      </c>
      <c r="BK36" t="str">
        <f t="shared" si="172"/>
        <v/>
      </c>
      <c r="BL36" t="str">
        <f t="shared" si="172"/>
        <v/>
      </c>
      <c r="BM36" t="str">
        <f t="shared" si="172"/>
        <v/>
      </c>
      <c r="BN36" t="str">
        <f t="shared" si="172"/>
        <v/>
      </c>
      <c r="BO36" t="str">
        <f t="shared" si="172"/>
        <v/>
      </c>
      <c r="BP36" t="str">
        <f t="shared" si="172"/>
        <v/>
      </c>
      <c r="BQ36" t="str">
        <f t="shared" si="172"/>
        <v/>
      </c>
      <c r="BR36" t="str">
        <f t="shared" si="172"/>
        <v/>
      </c>
      <c r="BS36" t="str">
        <f t="shared" si="172"/>
        <v/>
      </c>
      <c r="BT36" t="str">
        <f t="shared" si="172"/>
        <v/>
      </c>
      <c r="BU36" t="str">
        <f t="shared" si="172"/>
        <v/>
      </c>
      <c r="BV36" t="str">
        <f t="shared" si="172"/>
        <v/>
      </c>
      <c r="BW36" t="str">
        <f t="shared" si="172"/>
        <v/>
      </c>
      <c r="BX36" t="str">
        <f t="shared" si="176"/>
        <v/>
      </c>
      <c r="BY36" t="str">
        <f t="shared" si="174"/>
        <v/>
      </c>
      <c r="BZ36" t="str">
        <f t="shared" si="174"/>
        <v/>
      </c>
      <c r="CA36" t="str">
        <f t="shared" si="174"/>
        <v/>
      </c>
      <c r="CB36" t="str">
        <f t="shared" si="174"/>
        <v/>
      </c>
      <c r="CC36" t="str">
        <f t="shared" si="174"/>
        <v/>
      </c>
      <c r="CD36" t="str">
        <f t="shared" si="174"/>
        <v/>
      </c>
      <c r="CE36" t="str">
        <f t="shared" si="174"/>
        <v/>
      </c>
      <c r="CF36" t="str">
        <f t="shared" si="174"/>
        <v/>
      </c>
      <c r="CG36" t="str">
        <f t="shared" si="174"/>
        <v/>
      </c>
      <c r="CH36" t="str">
        <f t="shared" si="174"/>
        <v/>
      </c>
      <c r="CI36" t="str">
        <f t="shared" si="174"/>
        <v/>
      </c>
      <c r="CJ36" t="str">
        <f t="shared" si="174"/>
        <v/>
      </c>
      <c r="CK36" t="str">
        <f t="shared" si="174"/>
        <v/>
      </c>
      <c r="CL36" t="str">
        <f t="shared" si="174"/>
        <v/>
      </c>
      <c r="CM36" t="str">
        <f t="shared" si="174"/>
        <v/>
      </c>
      <c r="CN36" t="str">
        <f t="shared" si="174"/>
        <v/>
      </c>
      <c r="CO36" t="str">
        <f t="shared" si="175"/>
        <v/>
      </c>
      <c r="CP36" t="str">
        <f t="shared" si="175"/>
        <v/>
      </c>
      <c r="CQ36" t="str">
        <f t="shared" si="175"/>
        <v/>
      </c>
      <c r="CR36" t="str">
        <f t="shared" si="175"/>
        <v/>
      </c>
      <c r="CS36" t="str">
        <f t="shared" si="175"/>
        <v/>
      </c>
      <c r="CT36" t="str">
        <f t="shared" si="175"/>
        <v/>
      </c>
      <c r="CU36" t="str">
        <f t="shared" si="145"/>
        <v/>
      </c>
      <c r="CV36" t="str">
        <f t="shared" si="145"/>
        <v/>
      </c>
      <c r="CW36" t="str">
        <f t="shared" si="145"/>
        <v/>
      </c>
      <c r="CX36" t="str">
        <f t="shared" si="145"/>
        <v/>
      </c>
      <c r="CY36" t="str">
        <f t="shared" si="145"/>
        <v/>
      </c>
      <c r="CZ36" t="str">
        <f t="shared" si="162"/>
        <v/>
      </c>
      <c r="DA36" t="str">
        <f t="shared" si="162"/>
        <v/>
      </c>
      <c r="DB36" t="str">
        <f t="shared" si="162"/>
        <v/>
      </c>
      <c r="DC36" t="str">
        <f t="shared" si="162"/>
        <v/>
      </c>
      <c r="DD36" t="str">
        <f t="shared" si="162"/>
        <v/>
      </c>
      <c r="DE36" t="str">
        <f t="shared" si="162"/>
        <v/>
      </c>
      <c r="DF36" t="str">
        <f t="shared" si="162"/>
        <v/>
      </c>
      <c r="DG36" t="str">
        <f t="shared" si="162"/>
        <v/>
      </c>
      <c r="DH36" t="str">
        <f t="shared" si="162"/>
        <v/>
      </c>
      <c r="DI36" t="str">
        <f t="shared" si="162"/>
        <v/>
      </c>
      <c r="DJ36" t="str">
        <f t="shared" si="162"/>
        <v/>
      </c>
      <c r="DK36" t="str">
        <f t="shared" si="162"/>
        <v/>
      </c>
      <c r="DL36" t="str">
        <f t="shared" si="162"/>
        <v/>
      </c>
      <c r="DM36" t="str">
        <f t="shared" si="162"/>
        <v/>
      </c>
      <c r="DN36" t="str">
        <f t="shared" si="162"/>
        <v/>
      </c>
      <c r="DO36" t="str">
        <f t="shared" si="177"/>
        <v/>
      </c>
      <c r="DP36" t="str">
        <f t="shared" si="177"/>
        <v/>
      </c>
      <c r="DQ36" t="str">
        <f t="shared" si="177"/>
        <v/>
      </c>
      <c r="DR36" t="str">
        <f t="shared" si="177"/>
        <v/>
      </c>
      <c r="DS36" t="str">
        <f t="shared" si="177"/>
        <v/>
      </c>
      <c r="DT36" t="str">
        <f t="shared" si="177"/>
        <v/>
      </c>
      <c r="DU36" t="str">
        <f t="shared" si="177"/>
        <v/>
      </c>
    </row>
    <row r="37" spans="1:125" s="89" customFormat="1" outlineLevel="1">
      <c r="A37" s="13">
        <v>29</v>
      </c>
      <c r="B37" s="84" t="s">
        <v>151</v>
      </c>
      <c r="C37" s="85"/>
      <c r="D37" s="85">
        <v>45733</v>
      </c>
      <c r="E37" s="85">
        <f>D37+21</f>
        <v>45754</v>
      </c>
      <c r="F37" s="85"/>
      <c r="G37" s="85"/>
      <c r="H37" s="86">
        <v>0</v>
      </c>
      <c r="I37" s="85" t="s">
        <v>155</v>
      </c>
      <c r="J37" s="85" t="s">
        <v>165</v>
      </c>
      <c r="K37" s="87"/>
      <c r="L37" s="88"/>
      <c r="M37" s="89" t="str">
        <f t="shared" si="141"/>
        <v/>
      </c>
      <c r="N37" s="89" t="str">
        <f t="shared" si="141"/>
        <v/>
      </c>
      <c r="O37" s="89" t="str">
        <f t="shared" si="142"/>
        <v/>
      </c>
      <c r="P37" s="89" t="str">
        <f t="shared" si="172"/>
        <v/>
      </c>
      <c r="Q37" s="89" t="str">
        <f t="shared" si="172"/>
        <v/>
      </c>
      <c r="R37" s="89" t="str">
        <f t="shared" si="172"/>
        <v/>
      </c>
      <c r="S37" s="89" t="str">
        <f t="shared" si="172"/>
        <v/>
      </c>
      <c r="T37" s="89" t="str">
        <f t="shared" si="172"/>
        <v/>
      </c>
      <c r="U37" s="89" t="str">
        <f t="shared" si="172"/>
        <v/>
      </c>
      <c r="V37" s="89" t="str">
        <f t="shared" si="172"/>
        <v/>
      </c>
      <c r="W37" s="89" t="str">
        <f t="shared" si="172"/>
        <v/>
      </c>
      <c r="X37" s="89" t="str">
        <f t="shared" si="172"/>
        <v/>
      </c>
      <c r="Y37" s="89" t="str">
        <f t="shared" si="172"/>
        <v/>
      </c>
      <c r="Z37" s="89" t="str">
        <f t="shared" si="172"/>
        <v/>
      </c>
      <c r="AA37" s="89" t="str">
        <f t="shared" si="172"/>
        <v/>
      </c>
      <c r="AB37" s="89" t="str">
        <f t="shared" si="172"/>
        <v/>
      </c>
      <c r="AC37" s="89" t="str">
        <f t="shared" si="172"/>
        <v/>
      </c>
      <c r="AD37" s="89" t="str">
        <f t="shared" si="172"/>
        <v/>
      </c>
      <c r="AE37" s="89" t="str">
        <f t="shared" si="172"/>
        <v/>
      </c>
      <c r="AF37" s="89" t="str">
        <f t="shared" si="172"/>
        <v/>
      </c>
      <c r="AG37" s="89" t="str">
        <f t="shared" si="172"/>
        <v/>
      </c>
      <c r="AH37" s="89" t="str">
        <f t="shared" si="172"/>
        <v/>
      </c>
      <c r="AI37" s="89" t="str">
        <f t="shared" si="172"/>
        <v/>
      </c>
      <c r="AJ37" s="89" t="str">
        <f t="shared" si="172"/>
        <v/>
      </c>
      <c r="AK37" s="89" t="str">
        <f t="shared" si="172"/>
        <v/>
      </c>
      <c r="AL37" s="89" t="str">
        <f t="shared" si="172"/>
        <v/>
      </c>
      <c r="AM37" s="89" t="str">
        <f t="shared" si="172"/>
        <v/>
      </c>
      <c r="AN37" s="89" t="str">
        <f t="shared" si="172"/>
        <v/>
      </c>
      <c r="AO37" s="89" t="str">
        <f t="shared" si="172"/>
        <v/>
      </c>
      <c r="AP37" s="89" t="str">
        <f t="shared" si="172"/>
        <v/>
      </c>
      <c r="AQ37" s="89" t="str">
        <f t="shared" si="172"/>
        <v/>
      </c>
      <c r="AR37" s="89" t="str">
        <f t="shared" si="172"/>
        <v/>
      </c>
      <c r="AS37" s="89" t="str">
        <f t="shared" si="172"/>
        <v/>
      </c>
      <c r="AT37" s="89" t="str">
        <f t="shared" si="172"/>
        <v/>
      </c>
      <c r="AU37" s="89" t="str">
        <f t="shared" si="172"/>
        <v/>
      </c>
      <c r="AV37" s="89" t="str">
        <f t="shared" si="172"/>
        <v/>
      </c>
      <c r="AW37" s="89" t="str">
        <f t="shared" si="172"/>
        <v/>
      </c>
      <c r="AX37" s="89" t="str">
        <f t="shared" ca="1" si="172"/>
        <v/>
      </c>
      <c r="AY37" s="89" t="str">
        <f t="shared" ca="1" si="172"/>
        <v/>
      </c>
      <c r="AZ37" s="89" t="str">
        <f t="shared" ca="1" si="172"/>
        <v/>
      </c>
      <c r="BA37" s="89" t="str">
        <f t="shared" ca="1" si="172"/>
        <v/>
      </c>
      <c r="BB37" s="89" t="str">
        <f t="shared" ca="1" si="172"/>
        <v/>
      </c>
      <c r="BC37" s="89" t="str">
        <f t="shared" ca="1" si="172"/>
        <v/>
      </c>
      <c r="BD37" s="89" t="str">
        <f t="shared" ca="1" si="172"/>
        <v/>
      </c>
      <c r="BE37" s="89" t="str">
        <f t="shared" ca="1" si="172"/>
        <v/>
      </c>
      <c r="BF37" s="89" t="str">
        <f t="shared" ca="1" si="172"/>
        <v/>
      </c>
      <c r="BG37" s="89" t="str">
        <f t="shared" ca="1" si="172"/>
        <v/>
      </c>
      <c r="BH37" s="89" t="str">
        <f t="shared" ca="1" si="172"/>
        <v/>
      </c>
      <c r="BI37" s="89" t="str">
        <f t="shared" ca="1" si="172"/>
        <v/>
      </c>
      <c r="BJ37" s="89" t="str">
        <f t="shared" ca="1" si="172"/>
        <v/>
      </c>
      <c r="BK37" s="89" t="str">
        <f t="shared" ca="1" si="172"/>
        <v/>
      </c>
      <c r="BL37" s="89" t="str">
        <f t="shared" ca="1" si="172"/>
        <v/>
      </c>
      <c r="BM37" s="89" t="str">
        <f t="shared" ca="1" si="172"/>
        <v/>
      </c>
      <c r="BN37" s="89" t="str">
        <f t="shared" ca="1" si="172"/>
        <v/>
      </c>
      <c r="BO37" s="89" t="str">
        <f t="shared" ca="1" si="172"/>
        <v/>
      </c>
      <c r="BP37" s="89" t="str">
        <f t="shared" ca="1" si="172"/>
        <v/>
      </c>
      <c r="BQ37" s="89" t="str">
        <f t="shared" ca="1" si="172"/>
        <v/>
      </c>
      <c r="BR37" s="89" t="str">
        <f t="shared" ca="1" si="172"/>
        <v/>
      </c>
      <c r="BS37" s="89" t="str">
        <f t="shared" ca="1" si="172"/>
        <v/>
      </c>
      <c r="BT37" s="89" t="str">
        <f t="shared" si="172"/>
        <v/>
      </c>
      <c r="BU37" s="89" t="str">
        <f t="shared" si="172"/>
        <v/>
      </c>
      <c r="BV37" s="89" t="str">
        <f t="shared" si="172"/>
        <v/>
      </c>
      <c r="BW37" s="89" t="str">
        <f t="shared" si="172"/>
        <v/>
      </c>
      <c r="BX37" s="89" t="str">
        <f t="shared" si="176"/>
        <v/>
      </c>
      <c r="BY37" s="89" t="str">
        <f t="shared" si="174"/>
        <v/>
      </c>
      <c r="BZ37" s="89" t="str">
        <f t="shared" si="174"/>
        <v/>
      </c>
      <c r="CA37" s="89" t="str">
        <f t="shared" si="174"/>
        <v/>
      </c>
      <c r="CB37" s="89" t="str">
        <f t="shared" si="174"/>
        <v/>
      </c>
      <c r="CC37" s="89" t="str">
        <f t="shared" ref="CC37:CT37" si="178">IF(CC$7&lt;=$E37,IF(CC$7&gt;=$D37,IF(((CC$7-$D37+1)/($E37-$D37+1))&lt;=$H37,$E$5,IF(CC$7&lt;$I$1,$H$5,"")),""),"")</f>
        <v/>
      </c>
      <c r="CD37" s="89" t="str">
        <f t="shared" si="178"/>
        <v/>
      </c>
      <c r="CE37" s="89" t="str">
        <f t="shared" si="178"/>
        <v/>
      </c>
      <c r="CF37" s="89" t="str">
        <f t="shared" si="178"/>
        <v/>
      </c>
      <c r="CG37" s="89" t="str">
        <f t="shared" si="178"/>
        <v/>
      </c>
      <c r="CH37" s="89" t="str">
        <f t="shared" si="178"/>
        <v/>
      </c>
      <c r="CI37" s="89" t="str">
        <f t="shared" si="178"/>
        <v/>
      </c>
      <c r="CJ37" s="89" t="str">
        <f t="shared" si="178"/>
        <v/>
      </c>
      <c r="CK37" s="89" t="str">
        <f t="shared" si="178"/>
        <v/>
      </c>
      <c r="CL37" s="89" t="str">
        <f t="shared" si="178"/>
        <v/>
      </c>
      <c r="CM37" s="89" t="str">
        <f t="shared" si="178"/>
        <v/>
      </c>
      <c r="CN37" s="89" t="str">
        <f t="shared" si="178"/>
        <v/>
      </c>
      <c r="CO37" s="89" t="str">
        <f t="shared" si="178"/>
        <v/>
      </c>
      <c r="CP37" s="89" t="str">
        <f t="shared" si="178"/>
        <v/>
      </c>
      <c r="CQ37" s="89" t="str">
        <f t="shared" si="178"/>
        <v/>
      </c>
      <c r="CR37" s="89" t="str">
        <f t="shared" si="178"/>
        <v/>
      </c>
      <c r="CS37" s="89" t="str">
        <f t="shared" si="178"/>
        <v/>
      </c>
      <c r="CT37" s="89" t="str">
        <f t="shared" si="178"/>
        <v/>
      </c>
      <c r="CU37" s="89" t="str">
        <f t="shared" si="145"/>
        <v/>
      </c>
      <c r="CV37" s="89" t="str">
        <f t="shared" si="145"/>
        <v/>
      </c>
      <c r="CW37" s="89" t="str">
        <f t="shared" si="145"/>
        <v/>
      </c>
      <c r="CX37" s="89" t="str">
        <f t="shared" si="145"/>
        <v/>
      </c>
      <c r="CY37" s="89" t="str">
        <f t="shared" si="145"/>
        <v/>
      </c>
      <c r="CZ37" s="89" t="str">
        <f t="shared" si="177"/>
        <v/>
      </c>
      <c r="DA37" s="89" t="str">
        <f t="shared" ca="1" si="177"/>
        <v/>
      </c>
      <c r="DB37" s="89" t="str">
        <f t="shared" ca="1" si="177"/>
        <v/>
      </c>
      <c r="DC37" s="89" t="str">
        <f t="shared" ca="1" si="177"/>
        <v/>
      </c>
      <c r="DD37" s="89" t="str">
        <f t="shared" ca="1" si="177"/>
        <v/>
      </c>
      <c r="DE37" s="89" t="str">
        <f t="shared" si="177"/>
        <v/>
      </c>
      <c r="DF37" s="89" t="str">
        <f t="shared" si="177"/>
        <v/>
      </c>
      <c r="DG37" s="89" t="str">
        <f t="shared" si="177"/>
        <v/>
      </c>
      <c r="DH37" s="89" t="str">
        <f t="shared" si="177"/>
        <v/>
      </c>
      <c r="DI37" s="89" t="str">
        <f t="shared" si="177"/>
        <v/>
      </c>
      <c r="DJ37" s="89" t="str">
        <f t="shared" si="177"/>
        <v/>
      </c>
      <c r="DK37" s="89" t="str">
        <f t="shared" si="177"/>
        <v/>
      </c>
      <c r="DL37" s="89" t="str">
        <f t="shared" si="177"/>
        <v/>
      </c>
      <c r="DM37" s="89" t="str">
        <f t="shared" si="177"/>
        <v/>
      </c>
      <c r="DN37" s="89" t="str">
        <f t="shared" si="177"/>
        <v/>
      </c>
      <c r="DO37" s="89" t="str">
        <f t="shared" si="177"/>
        <v/>
      </c>
      <c r="DP37" s="89" t="str">
        <f t="shared" si="177"/>
        <v/>
      </c>
      <c r="DQ37" s="89" t="str">
        <f t="shared" si="177"/>
        <v/>
      </c>
      <c r="DR37" s="89" t="str">
        <f t="shared" si="177"/>
        <v/>
      </c>
      <c r="DS37" s="89" t="str">
        <f t="shared" si="177"/>
        <v/>
      </c>
      <c r="DT37" s="89" t="str">
        <f t="shared" si="177"/>
        <v/>
      </c>
      <c r="DU37" s="89" t="str">
        <f t="shared" si="177"/>
        <v/>
      </c>
    </row>
    <row r="38" spans="1:125" outlineLevel="2">
      <c r="A38" s="13">
        <v>30</v>
      </c>
      <c r="B38" s="77" t="s">
        <v>151</v>
      </c>
      <c r="C38" s="15"/>
      <c r="D38" s="15"/>
      <c r="E38" s="15"/>
      <c r="F38" s="15"/>
      <c r="G38" s="15"/>
      <c r="H38" s="29">
        <v>0</v>
      </c>
      <c r="I38" s="15" t="s">
        <v>155</v>
      </c>
      <c r="J38" s="15" t="s">
        <v>165</v>
      </c>
      <c r="K38" s="14"/>
      <c r="L38" s="64"/>
      <c r="M38" t="str">
        <f t="shared" si="141"/>
        <v/>
      </c>
      <c r="N38" t="str">
        <f t="shared" si="141"/>
        <v/>
      </c>
      <c r="O38" t="str">
        <f t="shared" si="141"/>
        <v/>
      </c>
      <c r="P38" t="str">
        <f t="shared" si="173"/>
        <v/>
      </c>
      <c r="Q38" t="str">
        <f t="shared" si="173"/>
        <v/>
      </c>
      <c r="R38" t="str">
        <f t="shared" si="173"/>
        <v/>
      </c>
      <c r="S38" t="str">
        <f t="shared" si="173"/>
        <v/>
      </c>
      <c r="T38" t="str">
        <f t="shared" si="173"/>
        <v/>
      </c>
      <c r="U38" t="str">
        <f t="shared" si="173"/>
        <v/>
      </c>
      <c r="V38" t="str">
        <f t="shared" si="173"/>
        <v/>
      </c>
      <c r="W38" t="str">
        <f t="shared" si="173"/>
        <v/>
      </c>
      <c r="X38" t="str">
        <f t="shared" si="173"/>
        <v/>
      </c>
      <c r="Y38" t="str">
        <f t="shared" si="173"/>
        <v/>
      </c>
      <c r="Z38" t="str">
        <f t="shared" si="173"/>
        <v/>
      </c>
      <c r="AA38" t="str">
        <f t="shared" si="173"/>
        <v/>
      </c>
      <c r="AB38" t="str">
        <f t="shared" si="173"/>
        <v/>
      </c>
      <c r="AC38" t="str">
        <f t="shared" si="173"/>
        <v/>
      </c>
      <c r="AD38" t="str">
        <f t="shared" si="173"/>
        <v/>
      </c>
      <c r="AE38" t="str">
        <f t="shared" si="172"/>
        <v/>
      </c>
      <c r="AF38" t="str">
        <f t="shared" si="172"/>
        <v/>
      </c>
      <c r="AG38" t="str">
        <f t="shared" si="172"/>
        <v/>
      </c>
      <c r="AH38" t="str">
        <f t="shared" si="172"/>
        <v/>
      </c>
      <c r="AI38" t="str">
        <f t="shared" si="172"/>
        <v/>
      </c>
      <c r="AJ38" t="str">
        <f t="shared" si="172"/>
        <v/>
      </c>
      <c r="AK38" t="str">
        <f t="shared" si="172"/>
        <v/>
      </c>
      <c r="AL38" t="str">
        <f t="shared" si="172"/>
        <v/>
      </c>
      <c r="AM38" t="str">
        <f t="shared" si="172"/>
        <v/>
      </c>
      <c r="AN38" t="str">
        <f t="shared" si="172"/>
        <v/>
      </c>
      <c r="AO38" t="str">
        <f t="shared" si="172"/>
        <v/>
      </c>
      <c r="AP38" t="str">
        <f t="shared" si="172"/>
        <v/>
      </c>
      <c r="AQ38" t="str">
        <f t="shared" si="172"/>
        <v/>
      </c>
      <c r="AR38" t="str">
        <f t="shared" si="172"/>
        <v/>
      </c>
      <c r="AS38" t="str">
        <f t="shared" si="172"/>
        <v/>
      </c>
      <c r="AT38" t="str">
        <f t="shared" si="172"/>
        <v/>
      </c>
      <c r="AU38" t="str">
        <f t="shared" si="172"/>
        <v/>
      </c>
      <c r="AV38" t="str">
        <f t="shared" si="172"/>
        <v/>
      </c>
      <c r="AW38" t="str">
        <f t="shared" si="172"/>
        <v/>
      </c>
      <c r="AX38" t="str">
        <f t="shared" si="172"/>
        <v/>
      </c>
      <c r="AY38" t="str">
        <f t="shared" si="172"/>
        <v/>
      </c>
      <c r="AZ38" t="str">
        <f t="shared" si="172"/>
        <v/>
      </c>
      <c r="BA38" t="str">
        <f t="shared" si="172"/>
        <v/>
      </c>
      <c r="BB38" t="str">
        <f t="shared" si="172"/>
        <v/>
      </c>
      <c r="BC38" t="str">
        <f t="shared" si="172"/>
        <v/>
      </c>
      <c r="BD38" t="str">
        <f t="shared" si="172"/>
        <v/>
      </c>
      <c r="BE38" t="str">
        <f t="shared" si="172"/>
        <v/>
      </c>
      <c r="BF38" t="str">
        <f t="shared" si="172"/>
        <v/>
      </c>
      <c r="BG38" t="str">
        <f t="shared" si="172"/>
        <v/>
      </c>
      <c r="BH38" t="str">
        <f t="shared" si="172"/>
        <v/>
      </c>
      <c r="BI38" t="str">
        <f t="shared" si="172"/>
        <v/>
      </c>
      <c r="BJ38" t="str">
        <f t="shared" si="172"/>
        <v/>
      </c>
      <c r="BK38" t="str">
        <f t="shared" si="172"/>
        <v/>
      </c>
      <c r="BL38" t="str">
        <f t="shared" si="172"/>
        <v/>
      </c>
      <c r="BM38" t="str">
        <f t="shared" si="172"/>
        <v/>
      </c>
      <c r="BN38" t="str">
        <f t="shared" si="172"/>
        <v/>
      </c>
      <c r="BO38" t="str">
        <f t="shared" si="172"/>
        <v/>
      </c>
      <c r="BP38" t="str">
        <f t="shared" si="172"/>
        <v/>
      </c>
      <c r="BQ38" t="str">
        <f t="shared" si="172"/>
        <v/>
      </c>
      <c r="BR38" t="str">
        <f t="shared" si="172"/>
        <v/>
      </c>
      <c r="BS38" t="str">
        <f t="shared" si="172"/>
        <v/>
      </c>
      <c r="BT38" t="str">
        <f t="shared" si="172"/>
        <v/>
      </c>
      <c r="BU38" t="str">
        <f t="shared" si="172"/>
        <v/>
      </c>
      <c r="BV38" t="str">
        <f t="shared" ref="P38:BW43" si="179">IF(BV$7&lt;=$E38,IF(BV$7&gt;=$D38,IF(((BV$7-$D38+1)/($E38-$D38+1))&lt;=$H38,$E$5,IF(BV$7&lt;$I$1,$H$5,"")),""),"")</f>
        <v/>
      </c>
      <c r="BW38" t="str">
        <f t="shared" si="179"/>
        <v/>
      </c>
      <c r="BX38" t="str">
        <f t="shared" si="176"/>
        <v/>
      </c>
      <c r="BY38" t="str">
        <f t="shared" ref="BY38:CT41" si="180">IF(BY$7&lt;=$E38,IF(BY$7&gt;=$D38,IF(((BY$7-$D38+1)/($E38-$D38+1))&lt;=$H38,$E$5,IF(BY$7&lt;$I$1,$H$5,"")),""),"")</f>
        <v/>
      </c>
      <c r="BZ38" t="str">
        <f t="shared" si="180"/>
        <v/>
      </c>
      <c r="CA38" t="str">
        <f t="shared" si="180"/>
        <v/>
      </c>
      <c r="CB38" t="str">
        <f t="shared" si="180"/>
        <v/>
      </c>
      <c r="CC38" t="str">
        <f t="shared" si="180"/>
        <v/>
      </c>
      <c r="CD38" t="str">
        <f t="shared" si="180"/>
        <v/>
      </c>
      <c r="CE38" t="str">
        <f t="shared" si="180"/>
        <v/>
      </c>
      <c r="CF38" t="str">
        <f t="shared" si="180"/>
        <v/>
      </c>
      <c r="CG38" t="str">
        <f t="shared" si="180"/>
        <v/>
      </c>
      <c r="CH38" t="str">
        <f t="shared" si="180"/>
        <v/>
      </c>
      <c r="CI38" t="str">
        <f t="shared" si="180"/>
        <v/>
      </c>
      <c r="CJ38" t="str">
        <f t="shared" si="180"/>
        <v/>
      </c>
      <c r="CK38" t="str">
        <f t="shared" si="180"/>
        <v/>
      </c>
      <c r="CL38" t="str">
        <f t="shared" si="180"/>
        <v/>
      </c>
      <c r="CM38" t="str">
        <f t="shared" si="180"/>
        <v/>
      </c>
      <c r="CN38" t="str">
        <f t="shared" si="180"/>
        <v/>
      </c>
      <c r="CO38" t="str">
        <f t="shared" si="180"/>
        <v/>
      </c>
      <c r="CP38" t="str">
        <f t="shared" si="180"/>
        <v/>
      </c>
      <c r="CQ38" t="str">
        <f t="shared" si="180"/>
        <v/>
      </c>
      <c r="CR38" t="str">
        <f t="shared" si="180"/>
        <v/>
      </c>
      <c r="CS38" t="str">
        <f t="shared" si="180"/>
        <v/>
      </c>
      <c r="CT38" t="str">
        <f t="shared" si="180"/>
        <v/>
      </c>
      <c r="CU38" t="str">
        <f t="shared" si="145"/>
        <v/>
      </c>
      <c r="CV38" t="str">
        <f t="shared" si="145"/>
        <v/>
      </c>
      <c r="CW38" t="str">
        <f t="shared" si="145"/>
        <v/>
      </c>
      <c r="CX38" t="str">
        <f t="shared" si="145"/>
        <v/>
      </c>
      <c r="CY38" t="str">
        <f t="shared" si="145"/>
        <v/>
      </c>
      <c r="CZ38" t="str">
        <f t="shared" si="177"/>
        <v/>
      </c>
      <c r="DA38" t="str">
        <f t="shared" si="177"/>
        <v/>
      </c>
      <c r="DB38" t="str">
        <f t="shared" si="177"/>
        <v/>
      </c>
      <c r="DC38" t="str">
        <f t="shared" si="177"/>
        <v/>
      </c>
      <c r="DD38" t="str">
        <f t="shared" si="177"/>
        <v/>
      </c>
      <c r="DE38" t="str">
        <f t="shared" si="177"/>
        <v/>
      </c>
      <c r="DF38" t="str">
        <f t="shared" si="177"/>
        <v/>
      </c>
      <c r="DG38" t="str">
        <f t="shared" si="177"/>
        <v/>
      </c>
      <c r="DH38" t="str">
        <f t="shared" si="177"/>
        <v/>
      </c>
      <c r="DI38" t="str">
        <f t="shared" si="177"/>
        <v/>
      </c>
      <c r="DJ38" t="str">
        <f t="shared" si="177"/>
        <v/>
      </c>
      <c r="DK38" t="str">
        <f t="shared" si="177"/>
        <v/>
      </c>
      <c r="DL38" t="str">
        <f t="shared" si="177"/>
        <v/>
      </c>
      <c r="DM38" t="str">
        <f t="shared" si="177"/>
        <v/>
      </c>
      <c r="DN38" t="str">
        <f t="shared" si="177"/>
        <v/>
      </c>
      <c r="DO38" t="str">
        <f t="shared" si="177"/>
        <v/>
      </c>
      <c r="DP38" t="str">
        <f t="shared" si="177"/>
        <v/>
      </c>
      <c r="DQ38" t="str">
        <f t="shared" si="177"/>
        <v/>
      </c>
      <c r="DR38" t="str">
        <f t="shared" si="177"/>
        <v/>
      </c>
      <c r="DS38" t="str">
        <f t="shared" si="177"/>
        <v/>
      </c>
      <c r="DT38" t="str">
        <f t="shared" si="177"/>
        <v/>
      </c>
      <c r="DU38" t="str">
        <f t="shared" si="177"/>
        <v/>
      </c>
    </row>
    <row r="39" spans="1:125" outlineLevel="2">
      <c r="A39" s="13">
        <v>31</v>
      </c>
      <c r="B39" s="77" t="s">
        <v>157</v>
      </c>
      <c r="C39" s="15"/>
      <c r="D39" s="15"/>
      <c r="E39" s="15"/>
      <c r="F39" s="15"/>
      <c r="G39" s="15"/>
      <c r="H39" s="29">
        <v>0</v>
      </c>
      <c r="I39" s="15" t="s">
        <v>155</v>
      </c>
      <c r="J39" s="15" t="s">
        <v>165</v>
      </c>
      <c r="K39" s="14"/>
      <c r="L39" s="64"/>
      <c r="M39" t="str">
        <f t="shared" si="141"/>
        <v/>
      </c>
      <c r="N39" t="str">
        <f t="shared" si="141"/>
        <v/>
      </c>
      <c r="O39" t="str">
        <f t="shared" si="141"/>
        <v/>
      </c>
      <c r="P39" t="str">
        <f t="shared" si="179"/>
        <v/>
      </c>
      <c r="Q39" t="str">
        <f t="shared" si="179"/>
        <v/>
      </c>
      <c r="R39" t="str">
        <f t="shared" si="179"/>
        <v/>
      </c>
      <c r="S39" t="str">
        <f t="shared" si="179"/>
        <v/>
      </c>
      <c r="T39" t="str">
        <f t="shared" si="179"/>
        <v/>
      </c>
      <c r="U39" t="str">
        <f t="shared" si="179"/>
        <v/>
      </c>
      <c r="V39" t="str">
        <f t="shared" si="179"/>
        <v/>
      </c>
      <c r="W39" t="str">
        <f t="shared" si="179"/>
        <v/>
      </c>
      <c r="X39" t="str">
        <f t="shared" si="179"/>
        <v/>
      </c>
      <c r="Y39" t="str">
        <f t="shared" si="179"/>
        <v/>
      </c>
      <c r="Z39" t="str">
        <f t="shared" si="179"/>
        <v/>
      </c>
      <c r="AA39" t="str">
        <f t="shared" si="179"/>
        <v/>
      </c>
      <c r="AB39" t="str">
        <f t="shared" si="179"/>
        <v/>
      </c>
      <c r="AC39" t="str">
        <f t="shared" si="179"/>
        <v/>
      </c>
      <c r="AD39" t="str">
        <f t="shared" si="179"/>
        <v/>
      </c>
      <c r="AE39" t="str">
        <f t="shared" si="179"/>
        <v/>
      </c>
      <c r="AF39" t="str">
        <f t="shared" si="179"/>
        <v/>
      </c>
      <c r="AG39" t="str">
        <f t="shared" si="179"/>
        <v/>
      </c>
      <c r="AH39" t="str">
        <f t="shared" si="179"/>
        <v/>
      </c>
      <c r="AI39" t="str">
        <f t="shared" si="179"/>
        <v/>
      </c>
      <c r="AJ39" t="str">
        <f t="shared" si="179"/>
        <v/>
      </c>
      <c r="AK39" t="str">
        <f t="shared" si="179"/>
        <v/>
      </c>
      <c r="AL39" t="str">
        <f t="shared" si="179"/>
        <v/>
      </c>
      <c r="AM39" t="str">
        <f t="shared" si="179"/>
        <v/>
      </c>
      <c r="AN39" t="str">
        <f t="shared" si="179"/>
        <v/>
      </c>
      <c r="AO39" t="str">
        <f t="shared" si="179"/>
        <v/>
      </c>
      <c r="AP39" t="str">
        <f t="shared" si="179"/>
        <v/>
      </c>
      <c r="AQ39" t="str">
        <f t="shared" si="179"/>
        <v/>
      </c>
      <c r="AR39" t="str">
        <f t="shared" si="179"/>
        <v/>
      </c>
      <c r="AS39" t="str">
        <f t="shared" si="179"/>
        <v/>
      </c>
      <c r="AT39" t="str">
        <f t="shared" si="179"/>
        <v/>
      </c>
      <c r="AU39" t="str">
        <f t="shared" si="179"/>
        <v/>
      </c>
      <c r="AV39" t="str">
        <f t="shared" si="179"/>
        <v/>
      </c>
      <c r="AW39" t="str">
        <f t="shared" si="179"/>
        <v/>
      </c>
      <c r="AX39" t="str">
        <f t="shared" si="179"/>
        <v/>
      </c>
      <c r="AY39" t="str">
        <f t="shared" si="179"/>
        <v/>
      </c>
      <c r="AZ39" t="str">
        <f t="shared" si="179"/>
        <v/>
      </c>
      <c r="BA39" t="str">
        <f t="shared" si="179"/>
        <v/>
      </c>
      <c r="BB39" t="str">
        <f t="shared" si="179"/>
        <v/>
      </c>
      <c r="BC39" t="str">
        <f t="shared" si="179"/>
        <v/>
      </c>
      <c r="BD39" t="str">
        <f t="shared" si="179"/>
        <v/>
      </c>
      <c r="BE39" t="str">
        <f t="shared" si="179"/>
        <v/>
      </c>
      <c r="BF39" t="str">
        <f t="shared" si="179"/>
        <v/>
      </c>
      <c r="BG39" t="str">
        <f t="shared" si="179"/>
        <v/>
      </c>
      <c r="BH39" t="str">
        <f t="shared" si="179"/>
        <v/>
      </c>
      <c r="BI39" t="str">
        <f t="shared" si="179"/>
        <v/>
      </c>
      <c r="BJ39" t="str">
        <f t="shared" si="179"/>
        <v/>
      </c>
      <c r="BK39" t="str">
        <f t="shared" si="179"/>
        <v/>
      </c>
      <c r="BL39" t="str">
        <f t="shared" si="179"/>
        <v/>
      </c>
      <c r="BM39" t="str">
        <f t="shared" si="179"/>
        <v/>
      </c>
      <c r="BN39" t="str">
        <f t="shared" si="179"/>
        <v/>
      </c>
      <c r="BO39" t="str">
        <f t="shared" si="179"/>
        <v/>
      </c>
      <c r="BP39" t="str">
        <f t="shared" si="179"/>
        <v/>
      </c>
      <c r="BQ39" t="str">
        <f t="shared" si="179"/>
        <v/>
      </c>
      <c r="BR39" t="str">
        <f t="shared" si="179"/>
        <v/>
      </c>
      <c r="BS39" t="str">
        <f t="shared" si="179"/>
        <v/>
      </c>
      <c r="BT39" t="str">
        <f t="shared" si="179"/>
        <v/>
      </c>
      <c r="BU39" t="str">
        <f t="shared" si="179"/>
        <v/>
      </c>
      <c r="BV39" t="str">
        <f t="shared" si="179"/>
        <v/>
      </c>
      <c r="BW39" t="str">
        <f t="shared" si="179"/>
        <v/>
      </c>
      <c r="BX39" t="str">
        <f t="shared" si="176"/>
        <v/>
      </c>
      <c r="BY39" t="str">
        <f t="shared" si="180"/>
        <v/>
      </c>
      <c r="BZ39" t="str">
        <f t="shared" si="180"/>
        <v/>
      </c>
      <c r="CA39" t="str">
        <f t="shared" si="180"/>
        <v/>
      </c>
      <c r="CB39" t="str">
        <f t="shared" si="180"/>
        <v/>
      </c>
      <c r="CC39" t="str">
        <f t="shared" si="180"/>
        <v/>
      </c>
      <c r="CD39" t="str">
        <f t="shared" si="180"/>
        <v/>
      </c>
      <c r="CE39" t="str">
        <f t="shared" si="180"/>
        <v/>
      </c>
      <c r="CF39" t="str">
        <f t="shared" si="180"/>
        <v/>
      </c>
      <c r="CG39" t="str">
        <f t="shared" si="180"/>
        <v/>
      </c>
      <c r="CH39" t="str">
        <f t="shared" si="180"/>
        <v/>
      </c>
      <c r="CI39" t="str">
        <f t="shared" si="180"/>
        <v/>
      </c>
      <c r="CJ39" t="str">
        <f t="shared" si="180"/>
        <v/>
      </c>
      <c r="CK39" t="str">
        <f t="shared" si="180"/>
        <v/>
      </c>
      <c r="CL39" t="str">
        <f t="shared" si="180"/>
        <v/>
      </c>
      <c r="CM39" t="str">
        <f t="shared" si="180"/>
        <v/>
      </c>
      <c r="CN39" t="str">
        <f t="shared" si="180"/>
        <v/>
      </c>
      <c r="CO39" t="str">
        <f t="shared" si="180"/>
        <v/>
      </c>
      <c r="CP39" t="str">
        <f t="shared" si="180"/>
        <v/>
      </c>
      <c r="CQ39" t="str">
        <f t="shared" si="180"/>
        <v/>
      </c>
      <c r="CR39" t="str">
        <f t="shared" si="180"/>
        <v/>
      </c>
      <c r="CS39" t="str">
        <f t="shared" si="180"/>
        <v/>
      </c>
      <c r="CT39" t="str">
        <f t="shared" si="180"/>
        <v/>
      </c>
      <c r="CU39" t="str">
        <f t="shared" si="145"/>
        <v/>
      </c>
      <c r="CV39" t="str">
        <f t="shared" si="145"/>
        <v/>
      </c>
      <c r="CW39" t="str">
        <f t="shared" si="145"/>
        <v/>
      </c>
      <c r="CX39" t="str">
        <f t="shared" si="145"/>
        <v/>
      </c>
      <c r="CY39" t="str">
        <f t="shared" si="145"/>
        <v/>
      </c>
      <c r="CZ39" t="str">
        <f t="shared" si="177"/>
        <v/>
      </c>
      <c r="DA39" t="str">
        <f t="shared" si="177"/>
        <v/>
      </c>
      <c r="DB39" t="str">
        <f t="shared" si="177"/>
        <v/>
      </c>
      <c r="DC39" t="str">
        <f t="shared" si="177"/>
        <v/>
      </c>
      <c r="DD39" t="str">
        <f t="shared" si="177"/>
        <v/>
      </c>
      <c r="DE39" t="str">
        <f t="shared" si="177"/>
        <v/>
      </c>
      <c r="DF39" t="str">
        <f t="shared" si="177"/>
        <v/>
      </c>
      <c r="DG39" t="str">
        <f t="shared" si="177"/>
        <v/>
      </c>
      <c r="DH39" t="str">
        <f t="shared" si="177"/>
        <v/>
      </c>
      <c r="DI39" t="str">
        <f t="shared" si="177"/>
        <v/>
      </c>
      <c r="DJ39" t="str">
        <f t="shared" si="177"/>
        <v/>
      </c>
      <c r="DK39" t="str">
        <f t="shared" si="177"/>
        <v/>
      </c>
      <c r="DL39" t="str">
        <f t="shared" si="177"/>
        <v/>
      </c>
      <c r="DM39" t="str">
        <f t="shared" si="177"/>
        <v/>
      </c>
      <c r="DN39" t="str">
        <f t="shared" si="177"/>
        <v/>
      </c>
      <c r="DO39" t="str">
        <f t="shared" si="177"/>
        <v/>
      </c>
      <c r="DP39" t="str">
        <f t="shared" si="177"/>
        <v/>
      </c>
      <c r="DQ39" t="str">
        <f t="shared" si="177"/>
        <v/>
      </c>
      <c r="DR39" t="str">
        <f t="shared" si="177"/>
        <v/>
      </c>
      <c r="DS39" t="str">
        <f t="shared" si="177"/>
        <v/>
      </c>
      <c r="DT39" t="str">
        <f t="shared" si="177"/>
        <v/>
      </c>
      <c r="DU39" t="str">
        <f t="shared" si="177"/>
        <v/>
      </c>
    </row>
    <row r="40" spans="1:125" outlineLevel="2">
      <c r="A40" s="78">
        <v>32</v>
      </c>
      <c r="B40" s="77" t="s">
        <v>160</v>
      </c>
      <c r="C40" s="15"/>
      <c r="D40" s="15"/>
      <c r="E40" s="15"/>
      <c r="F40" s="15"/>
      <c r="G40" s="15"/>
      <c r="H40" s="29">
        <v>0</v>
      </c>
      <c r="I40" s="15" t="s">
        <v>155</v>
      </c>
      <c r="J40" s="15" t="s">
        <v>165</v>
      </c>
      <c r="K40" s="14"/>
      <c r="L40" s="64"/>
      <c r="M40" t="str">
        <f t="shared" ref="M40:BX43" si="181">IF(M$7&lt;=$E40,IF(M$7&gt;=$D40,IF(((M$7-$D40+1)/($E40-$D40+1))&lt;=$H40,$E$5,IF(M$7&lt;$I$1,$H$5,"")),""),"")</f>
        <v/>
      </c>
      <c r="N40" t="str">
        <f t="shared" si="181"/>
        <v/>
      </c>
      <c r="O40" t="str">
        <f t="shared" si="181"/>
        <v/>
      </c>
      <c r="P40" t="str">
        <f t="shared" si="181"/>
        <v/>
      </c>
      <c r="Q40" t="str">
        <f t="shared" si="181"/>
        <v/>
      </c>
      <c r="R40" t="str">
        <f t="shared" si="181"/>
        <v/>
      </c>
      <c r="S40" t="str">
        <f t="shared" si="181"/>
        <v/>
      </c>
      <c r="T40" t="str">
        <f t="shared" si="181"/>
        <v/>
      </c>
      <c r="U40" t="str">
        <f t="shared" si="181"/>
        <v/>
      </c>
      <c r="V40" t="str">
        <f t="shared" si="181"/>
        <v/>
      </c>
      <c r="W40" t="str">
        <f t="shared" si="181"/>
        <v/>
      </c>
      <c r="X40" t="str">
        <f t="shared" si="181"/>
        <v/>
      </c>
      <c r="Y40" t="str">
        <f t="shared" si="181"/>
        <v/>
      </c>
      <c r="Z40" t="str">
        <f t="shared" si="181"/>
        <v/>
      </c>
      <c r="AA40" t="str">
        <f t="shared" si="181"/>
        <v/>
      </c>
      <c r="AB40" t="str">
        <f t="shared" si="181"/>
        <v/>
      </c>
      <c r="AC40" t="str">
        <f t="shared" si="181"/>
        <v/>
      </c>
      <c r="AD40" t="str">
        <f t="shared" si="181"/>
        <v/>
      </c>
      <c r="AE40" t="str">
        <f t="shared" si="181"/>
        <v/>
      </c>
      <c r="AF40" t="str">
        <f t="shared" si="181"/>
        <v/>
      </c>
      <c r="AG40" t="str">
        <f t="shared" si="181"/>
        <v/>
      </c>
      <c r="AH40" t="str">
        <f t="shared" si="181"/>
        <v/>
      </c>
      <c r="AI40" t="str">
        <f t="shared" si="181"/>
        <v/>
      </c>
      <c r="AJ40" t="str">
        <f t="shared" si="181"/>
        <v/>
      </c>
      <c r="AK40" t="str">
        <f t="shared" si="181"/>
        <v/>
      </c>
      <c r="AL40" t="str">
        <f t="shared" si="181"/>
        <v/>
      </c>
      <c r="AM40" t="str">
        <f t="shared" si="181"/>
        <v/>
      </c>
      <c r="AN40" t="str">
        <f t="shared" si="181"/>
        <v/>
      </c>
      <c r="AO40" t="str">
        <f t="shared" si="181"/>
        <v/>
      </c>
      <c r="AP40" t="str">
        <f t="shared" si="181"/>
        <v/>
      </c>
      <c r="AQ40" t="str">
        <f t="shared" si="181"/>
        <v/>
      </c>
      <c r="AR40" t="str">
        <f t="shared" si="181"/>
        <v/>
      </c>
      <c r="AS40" t="str">
        <f t="shared" si="181"/>
        <v/>
      </c>
      <c r="AT40" t="str">
        <f t="shared" si="181"/>
        <v/>
      </c>
      <c r="AU40" t="str">
        <f t="shared" si="181"/>
        <v/>
      </c>
      <c r="AV40" t="str">
        <f t="shared" si="181"/>
        <v/>
      </c>
      <c r="AW40" t="str">
        <f t="shared" si="181"/>
        <v/>
      </c>
      <c r="AX40" t="str">
        <f t="shared" si="181"/>
        <v/>
      </c>
      <c r="AY40" t="str">
        <f t="shared" si="181"/>
        <v/>
      </c>
      <c r="AZ40" t="str">
        <f t="shared" si="181"/>
        <v/>
      </c>
      <c r="BA40" t="str">
        <f t="shared" si="181"/>
        <v/>
      </c>
      <c r="BB40" t="str">
        <f t="shared" si="181"/>
        <v/>
      </c>
      <c r="BC40" t="str">
        <f t="shared" si="181"/>
        <v/>
      </c>
      <c r="BD40" t="str">
        <f t="shared" si="181"/>
        <v/>
      </c>
      <c r="BE40" t="str">
        <f t="shared" si="181"/>
        <v/>
      </c>
      <c r="BF40" t="str">
        <f t="shared" si="181"/>
        <v/>
      </c>
      <c r="BG40" t="str">
        <f t="shared" si="181"/>
        <v/>
      </c>
      <c r="BH40" t="str">
        <f t="shared" si="181"/>
        <v/>
      </c>
      <c r="BI40" t="str">
        <f t="shared" si="181"/>
        <v/>
      </c>
      <c r="BJ40" t="str">
        <f t="shared" si="181"/>
        <v/>
      </c>
      <c r="BK40" t="str">
        <f t="shared" si="181"/>
        <v/>
      </c>
      <c r="BL40" t="str">
        <f t="shared" si="181"/>
        <v/>
      </c>
      <c r="BM40" t="str">
        <f t="shared" si="181"/>
        <v/>
      </c>
      <c r="BN40" t="str">
        <f t="shared" si="181"/>
        <v/>
      </c>
      <c r="BO40" t="str">
        <f t="shared" si="181"/>
        <v/>
      </c>
      <c r="BP40" t="str">
        <f t="shared" si="181"/>
        <v/>
      </c>
      <c r="BQ40" t="str">
        <f t="shared" si="181"/>
        <v/>
      </c>
      <c r="BR40" t="str">
        <f t="shared" si="181"/>
        <v/>
      </c>
      <c r="BS40" t="str">
        <f t="shared" si="181"/>
        <v/>
      </c>
      <c r="BT40" t="str">
        <f t="shared" si="181"/>
        <v/>
      </c>
      <c r="BU40" t="str">
        <f t="shared" si="181"/>
        <v/>
      </c>
      <c r="BV40" t="str">
        <f t="shared" si="181"/>
        <v/>
      </c>
      <c r="BW40" t="str">
        <f t="shared" si="181"/>
        <v/>
      </c>
      <c r="BX40" t="str">
        <f t="shared" si="181"/>
        <v/>
      </c>
      <c r="BY40" t="str">
        <f t="shared" si="180"/>
        <v/>
      </c>
      <c r="BZ40" t="str">
        <f t="shared" si="180"/>
        <v/>
      </c>
      <c r="CA40" t="str">
        <f t="shared" si="180"/>
        <v/>
      </c>
      <c r="CB40" t="str">
        <f t="shared" si="180"/>
        <v/>
      </c>
      <c r="CC40" t="str">
        <f t="shared" si="180"/>
        <v/>
      </c>
      <c r="CD40" t="str">
        <f t="shared" si="180"/>
        <v/>
      </c>
      <c r="CE40" t="str">
        <f t="shared" si="180"/>
        <v/>
      </c>
      <c r="CF40" t="str">
        <f t="shared" si="180"/>
        <v/>
      </c>
      <c r="CG40" t="str">
        <f t="shared" si="180"/>
        <v/>
      </c>
      <c r="CH40" t="str">
        <f t="shared" si="180"/>
        <v/>
      </c>
      <c r="CI40" t="str">
        <f t="shared" si="180"/>
        <v/>
      </c>
      <c r="CJ40" t="str">
        <f t="shared" si="180"/>
        <v/>
      </c>
      <c r="CK40" t="str">
        <f t="shared" si="180"/>
        <v/>
      </c>
      <c r="CL40" t="str">
        <f t="shared" si="180"/>
        <v/>
      </c>
      <c r="CM40" t="str">
        <f t="shared" si="180"/>
        <v/>
      </c>
      <c r="CN40" t="str">
        <f t="shared" si="180"/>
        <v/>
      </c>
      <c r="CO40" t="str">
        <f t="shared" si="180"/>
        <v/>
      </c>
      <c r="CP40" t="str">
        <f t="shared" si="180"/>
        <v/>
      </c>
      <c r="CQ40" t="str">
        <f t="shared" si="180"/>
        <v/>
      </c>
      <c r="CR40" t="str">
        <f t="shared" si="180"/>
        <v/>
      </c>
      <c r="CS40" t="str">
        <f t="shared" si="180"/>
        <v/>
      </c>
      <c r="CT40" t="str">
        <f t="shared" si="180"/>
        <v/>
      </c>
      <c r="CU40" t="str">
        <f t="shared" ref="CU40:DU40" si="182">IF(AND(CU$7&lt;=$E40,CU$7+6&gt;=$D40),IF((((IF(CU$7&gt;$D40,CU$7-$D40+1,1))+(IF(AND($I$1&gt;CU$7,$I$1&lt;=CU$7+6),IF(CU$7&gt;$I$1,$I$1-CU$7,0),0)))/($E40-$D40+1))&lt;=$H40,$E$5,IF(CU$7&lt;$I$1,$H$5,"")),"")</f>
        <v/>
      </c>
      <c r="CV40" t="str">
        <f t="shared" si="182"/>
        <v/>
      </c>
      <c r="CW40" t="str">
        <f t="shared" si="182"/>
        <v/>
      </c>
      <c r="CX40" t="str">
        <f t="shared" si="182"/>
        <v/>
      </c>
      <c r="CY40" t="str">
        <f t="shared" si="182"/>
        <v/>
      </c>
      <c r="CZ40" t="str">
        <f t="shared" si="182"/>
        <v/>
      </c>
      <c r="DA40" t="str">
        <f t="shared" si="182"/>
        <v/>
      </c>
      <c r="DB40" t="str">
        <f t="shared" si="182"/>
        <v/>
      </c>
      <c r="DC40" t="str">
        <f t="shared" si="182"/>
        <v/>
      </c>
      <c r="DD40" t="str">
        <f t="shared" si="182"/>
        <v/>
      </c>
      <c r="DE40" t="str">
        <f t="shared" si="182"/>
        <v/>
      </c>
      <c r="DF40" t="str">
        <f t="shared" si="182"/>
        <v/>
      </c>
      <c r="DG40" t="str">
        <f t="shared" si="182"/>
        <v/>
      </c>
      <c r="DH40" t="str">
        <f t="shared" si="182"/>
        <v/>
      </c>
      <c r="DI40" t="str">
        <f t="shared" si="182"/>
        <v/>
      </c>
      <c r="DJ40" t="str">
        <f t="shared" si="182"/>
        <v/>
      </c>
      <c r="DK40" t="str">
        <f t="shared" si="182"/>
        <v/>
      </c>
      <c r="DL40" t="str">
        <f t="shared" si="182"/>
        <v/>
      </c>
      <c r="DM40" t="str">
        <f t="shared" si="182"/>
        <v/>
      </c>
      <c r="DN40" t="str">
        <f t="shared" si="182"/>
        <v/>
      </c>
      <c r="DO40" t="str">
        <f t="shared" si="182"/>
        <v/>
      </c>
      <c r="DP40" t="str">
        <f t="shared" si="182"/>
        <v/>
      </c>
      <c r="DQ40" t="str">
        <f t="shared" si="182"/>
        <v/>
      </c>
      <c r="DR40" t="str">
        <f t="shared" si="182"/>
        <v/>
      </c>
      <c r="DS40" t="str">
        <f t="shared" si="182"/>
        <v/>
      </c>
      <c r="DT40" t="str">
        <f t="shared" si="182"/>
        <v/>
      </c>
      <c r="DU40" t="str">
        <f t="shared" si="182"/>
        <v/>
      </c>
    </row>
    <row r="41" spans="1:125" outlineLevel="2">
      <c r="A41" s="13">
        <v>33</v>
      </c>
      <c r="B41" s="77" t="s">
        <v>169</v>
      </c>
      <c r="C41" s="15"/>
      <c r="D41" s="15"/>
      <c r="E41" s="15"/>
      <c r="F41" s="15"/>
      <c r="G41" s="15"/>
      <c r="H41" s="29">
        <v>0</v>
      </c>
      <c r="I41" s="15" t="s">
        <v>155</v>
      </c>
      <c r="J41" s="15" t="s">
        <v>168</v>
      </c>
      <c r="K41" s="14"/>
      <c r="L41" s="64"/>
      <c r="M41" t="str">
        <f t="shared" si="141"/>
        <v/>
      </c>
      <c r="N41" t="str">
        <f t="shared" si="141"/>
        <v/>
      </c>
      <c r="O41" t="str">
        <f t="shared" si="141"/>
        <v/>
      </c>
      <c r="P41" t="str">
        <f t="shared" si="179"/>
        <v/>
      </c>
      <c r="Q41" t="str">
        <f t="shared" si="179"/>
        <v/>
      </c>
      <c r="R41" t="str">
        <f t="shared" si="179"/>
        <v/>
      </c>
      <c r="S41" t="str">
        <f t="shared" si="179"/>
        <v/>
      </c>
      <c r="T41" t="str">
        <f t="shared" si="179"/>
        <v/>
      </c>
      <c r="U41" t="str">
        <f t="shared" si="179"/>
        <v/>
      </c>
      <c r="V41" t="str">
        <f t="shared" si="179"/>
        <v/>
      </c>
      <c r="W41" t="str">
        <f t="shared" si="179"/>
        <v/>
      </c>
      <c r="X41" t="str">
        <f t="shared" si="179"/>
        <v/>
      </c>
      <c r="Y41" t="str">
        <f t="shared" si="179"/>
        <v/>
      </c>
      <c r="Z41" t="str">
        <f t="shared" si="179"/>
        <v/>
      </c>
      <c r="AA41" t="str">
        <f t="shared" si="179"/>
        <v/>
      </c>
      <c r="AB41" t="str">
        <f t="shared" si="179"/>
        <v/>
      </c>
      <c r="AC41" t="str">
        <f t="shared" si="179"/>
        <v/>
      </c>
      <c r="AD41" t="str">
        <f t="shared" si="179"/>
        <v/>
      </c>
      <c r="AE41" t="str">
        <f t="shared" si="179"/>
        <v/>
      </c>
      <c r="AF41" t="str">
        <f t="shared" si="179"/>
        <v/>
      </c>
      <c r="AG41" t="str">
        <f t="shared" si="179"/>
        <v/>
      </c>
      <c r="AH41" t="str">
        <f t="shared" si="179"/>
        <v/>
      </c>
      <c r="AI41" t="str">
        <f t="shared" si="179"/>
        <v/>
      </c>
      <c r="AJ41" t="str">
        <f t="shared" si="179"/>
        <v/>
      </c>
      <c r="AK41" t="str">
        <f t="shared" si="179"/>
        <v/>
      </c>
      <c r="AL41" t="str">
        <f t="shared" si="179"/>
        <v/>
      </c>
      <c r="AM41" t="str">
        <f t="shared" si="179"/>
        <v/>
      </c>
      <c r="AN41" t="str">
        <f t="shared" si="179"/>
        <v/>
      </c>
      <c r="AO41" t="str">
        <f t="shared" si="179"/>
        <v/>
      </c>
      <c r="AP41" t="str">
        <f t="shared" si="179"/>
        <v/>
      </c>
      <c r="AQ41" t="str">
        <f t="shared" si="179"/>
        <v/>
      </c>
      <c r="AR41" t="str">
        <f t="shared" si="179"/>
        <v/>
      </c>
      <c r="AS41" t="str">
        <f t="shared" si="179"/>
        <v/>
      </c>
      <c r="AT41" t="str">
        <f t="shared" si="179"/>
        <v/>
      </c>
      <c r="AU41" t="str">
        <f t="shared" si="179"/>
        <v/>
      </c>
      <c r="AV41" t="str">
        <f t="shared" si="179"/>
        <v/>
      </c>
      <c r="AW41" t="str">
        <f t="shared" si="179"/>
        <v/>
      </c>
      <c r="AX41" t="str">
        <f t="shared" si="179"/>
        <v/>
      </c>
      <c r="AY41" t="str">
        <f t="shared" si="179"/>
        <v/>
      </c>
      <c r="AZ41" t="str">
        <f t="shared" si="179"/>
        <v/>
      </c>
      <c r="BA41" t="str">
        <f t="shared" si="179"/>
        <v/>
      </c>
      <c r="BB41" t="str">
        <f t="shared" si="179"/>
        <v/>
      </c>
      <c r="BC41" t="str">
        <f t="shared" si="179"/>
        <v/>
      </c>
      <c r="BD41" t="str">
        <f t="shared" si="179"/>
        <v/>
      </c>
      <c r="BE41" t="str">
        <f t="shared" si="179"/>
        <v/>
      </c>
      <c r="BF41" t="str">
        <f t="shared" si="179"/>
        <v/>
      </c>
      <c r="BG41" t="str">
        <f t="shared" si="179"/>
        <v/>
      </c>
      <c r="BH41" t="str">
        <f t="shared" si="179"/>
        <v/>
      </c>
      <c r="BI41" t="str">
        <f t="shared" si="179"/>
        <v/>
      </c>
      <c r="BJ41" t="str">
        <f t="shared" si="179"/>
        <v/>
      </c>
      <c r="BK41" t="str">
        <f t="shared" si="179"/>
        <v/>
      </c>
      <c r="BL41" t="str">
        <f t="shared" si="179"/>
        <v/>
      </c>
      <c r="BM41" t="str">
        <f t="shared" si="179"/>
        <v/>
      </c>
      <c r="BN41" t="str">
        <f t="shared" si="179"/>
        <v/>
      </c>
      <c r="BO41" t="str">
        <f t="shared" si="179"/>
        <v/>
      </c>
      <c r="BP41" t="str">
        <f t="shared" si="179"/>
        <v/>
      </c>
      <c r="BQ41" t="str">
        <f t="shared" si="179"/>
        <v/>
      </c>
      <c r="BR41" t="str">
        <f t="shared" si="179"/>
        <v/>
      </c>
      <c r="BS41" t="str">
        <f t="shared" si="179"/>
        <v/>
      </c>
      <c r="BT41" t="str">
        <f t="shared" si="179"/>
        <v/>
      </c>
      <c r="BU41" t="str">
        <f t="shared" si="179"/>
        <v/>
      </c>
      <c r="BV41" t="str">
        <f t="shared" si="179"/>
        <v/>
      </c>
      <c r="BW41" t="str">
        <f t="shared" si="179"/>
        <v/>
      </c>
      <c r="BX41" t="str">
        <f t="shared" si="181"/>
        <v/>
      </c>
      <c r="BY41" t="str">
        <f t="shared" si="180"/>
        <v/>
      </c>
      <c r="BZ41" t="str">
        <f t="shared" si="180"/>
        <v/>
      </c>
      <c r="CA41" t="str">
        <f t="shared" si="180"/>
        <v/>
      </c>
      <c r="CB41" t="str">
        <f t="shared" si="180"/>
        <v/>
      </c>
      <c r="CC41" t="str">
        <f t="shared" si="180"/>
        <v/>
      </c>
      <c r="CD41" t="str">
        <f t="shared" si="180"/>
        <v/>
      </c>
      <c r="CE41" t="str">
        <f t="shared" si="180"/>
        <v/>
      </c>
      <c r="CF41" t="str">
        <f t="shared" si="180"/>
        <v/>
      </c>
      <c r="CG41" t="str">
        <f t="shared" si="180"/>
        <v/>
      </c>
      <c r="CH41" t="str">
        <f t="shared" si="180"/>
        <v/>
      </c>
      <c r="CI41" t="str">
        <f t="shared" si="180"/>
        <v/>
      </c>
      <c r="CJ41" t="str">
        <f t="shared" si="180"/>
        <v/>
      </c>
      <c r="CK41" t="str">
        <f t="shared" si="180"/>
        <v/>
      </c>
      <c r="CL41" t="str">
        <f t="shared" si="180"/>
        <v/>
      </c>
      <c r="CM41" t="str">
        <f t="shared" si="180"/>
        <v/>
      </c>
      <c r="CN41" t="str">
        <f t="shared" si="180"/>
        <v/>
      </c>
      <c r="CO41" t="str">
        <f t="shared" si="180"/>
        <v/>
      </c>
      <c r="CP41" t="str">
        <f t="shared" si="180"/>
        <v/>
      </c>
      <c r="CQ41" t="str">
        <f t="shared" si="180"/>
        <v/>
      </c>
      <c r="CR41" t="str">
        <f t="shared" si="180"/>
        <v/>
      </c>
      <c r="CS41" t="str">
        <f t="shared" si="180"/>
        <v/>
      </c>
      <c r="CT41" t="str">
        <f t="shared" si="180"/>
        <v/>
      </c>
      <c r="CU41" t="str">
        <f t="shared" si="145"/>
        <v/>
      </c>
      <c r="CV41" t="str">
        <f t="shared" si="145"/>
        <v/>
      </c>
      <c r="CW41" t="str">
        <f t="shared" si="145"/>
        <v/>
      </c>
      <c r="CX41" t="str">
        <f t="shared" si="145"/>
        <v/>
      </c>
      <c r="CY41" t="str">
        <f t="shared" si="145"/>
        <v/>
      </c>
      <c r="CZ41" t="str">
        <f t="shared" si="177"/>
        <v/>
      </c>
      <c r="DA41" t="str">
        <f t="shared" si="177"/>
        <v/>
      </c>
      <c r="DB41" t="str">
        <f t="shared" si="177"/>
        <v/>
      </c>
      <c r="DC41" t="str">
        <f t="shared" si="177"/>
        <v/>
      </c>
      <c r="DD41" t="str">
        <f t="shared" si="177"/>
        <v/>
      </c>
      <c r="DE41" t="str">
        <f t="shared" si="177"/>
        <v/>
      </c>
      <c r="DF41" t="str">
        <f t="shared" si="177"/>
        <v/>
      </c>
      <c r="DG41" t="str">
        <f t="shared" si="177"/>
        <v/>
      </c>
      <c r="DH41" t="str">
        <f t="shared" si="177"/>
        <v/>
      </c>
      <c r="DI41" t="str">
        <f t="shared" si="177"/>
        <v/>
      </c>
      <c r="DJ41" t="str">
        <f t="shared" si="177"/>
        <v/>
      </c>
      <c r="DK41" t="str">
        <f t="shared" si="177"/>
        <v/>
      </c>
      <c r="DL41" t="str">
        <f t="shared" si="177"/>
        <v/>
      </c>
      <c r="DM41" t="str">
        <f t="shared" si="177"/>
        <v/>
      </c>
      <c r="DN41" t="str">
        <f t="shared" si="177"/>
        <v/>
      </c>
      <c r="DO41" t="str">
        <f t="shared" si="177"/>
        <v/>
      </c>
      <c r="DP41" t="str">
        <f t="shared" si="177"/>
        <v/>
      </c>
      <c r="DQ41" t="str">
        <f t="shared" si="177"/>
        <v/>
      </c>
      <c r="DR41" t="str">
        <f t="shared" si="177"/>
        <v/>
      </c>
      <c r="DS41" t="str">
        <f t="shared" si="177"/>
        <v/>
      </c>
      <c r="DT41" t="str">
        <f t="shared" si="177"/>
        <v/>
      </c>
      <c r="DU41" t="str">
        <f t="shared" si="177"/>
        <v/>
      </c>
    </row>
    <row r="42" spans="1:125">
      <c r="A42" s="13">
        <v>34</v>
      </c>
      <c r="B42" s="15" t="s">
        <v>152</v>
      </c>
      <c r="C42" s="15"/>
      <c r="D42" s="15">
        <v>45761</v>
      </c>
      <c r="E42" s="15">
        <f>D42+30</f>
        <v>45791</v>
      </c>
      <c r="F42" s="15"/>
      <c r="G42" s="15"/>
      <c r="H42" s="29">
        <v>0</v>
      </c>
      <c r="I42" s="15" t="s">
        <v>155</v>
      </c>
      <c r="J42" s="15" t="s">
        <v>173</v>
      </c>
      <c r="K42" s="14"/>
      <c r="L42" s="64"/>
      <c r="M42" t="str">
        <f t="shared" si="141"/>
        <v/>
      </c>
      <c r="N42" t="str">
        <f t="shared" si="141"/>
        <v/>
      </c>
      <c r="O42" t="str">
        <f t="shared" si="142"/>
        <v/>
      </c>
      <c r="P42" t="str">
        <f t="shared" si="179"/>
        <v/>
      </c>
      <c r="Q42" t="str">
        <f t="shared" si="179"/>
        <v/>
      </c>
      <c r="R42" t="str">
        <f t="shared" si="179"/>
        <v/>
      </c>
      <c r="S42" t="str">
        <f t="shared" si="179"/>
        <v/>
      </c>
      <c r="T42" t="str">
        <f t="shared" si="179"/>
        <v/>
      </c>
      <c r="U42" t="str">
        <f t="shared" si="179"/>
        <v/>
      </c>
      <c r="V42" t="str">
        <f t="shared" si="179"/>
        <v/>
      </c>
      <c r="W42" t="str">
        <f t="shared" si="179"/>
        <v/>
      </c>
      <c r="X42" t="str">
        <f t="shared" si="179"/>
        <v/>
      </c>
      <c r="Y42" t="str">
        <f t="shared" si="179"/>
        <v/>
      </c>
      <c r="Z42" t="str">
        <f t="shared" si="179"/>
        <v/>
      </c>
      <c r="AA42" t="str">
        <f t="shared" si="179"/>
        <v/>
      </c>
      <c r="AB42" t="str">
        <f t="shared" si="179"/>
        <v/>
      </c>
      <c r="AC42" t="str">
        <f t="shared" si="179"/>
        <v/>
      </c>
      <c r="AD42" t="str">
        <f t="shared" si="179"/>
        <v/>
      </c>
      <c r="AE42" t="str">
        <f t="shared" si="179"/>
        <v/>
      </c>
      <c r="AF42" t="str">
        <f t="shared" si="179"/>
        <v/>
      </c>
      <c r="AG42" t="str">
        <f t="shared" si="179"/>
        <v/>
      </c>
      <c r="AH42" t="str">
        <f t="shared" si="179"/>
        <v/>
      </c>
      <c r="AI42" t="str">
        <f t="shared" si="179"/>
        <v/>
      </c>
      <c r="AJ42" t="str">
        <f t="shared" si="179"/>
        <v/>
      </c>
      <c r="AK42" t="str">
        <f t="shared" si="179"/>
        <v/>
      </c>
      <c r="AL42" t="str">
        <f t="shared" si="179"/>
        <v/>
      </c>
      <c r="AM42" t="str">
        <f t="shared" si="179"/>
        <v/>
      </c>
      <c r="AN42" t="str">
        <f t="shared" si="179"/>
        <v/>
      </c>
      <c r="AO42" t="str">
        <f t="shared" si="179"/>
        <v/>
      </c>
      <c r="AP42" t="str">
        <f t="shared" si="179"/>
        <v/>
      </c>
      <c r="AQ42" t="str">
        <f t="shared" si="179"/>
        <v/>
      </c>
      <c r="AR42" t="str">
        <f t="shared" si="179"/>
        <v/>
      </c>
      <c r="AS42" t="str">
        <f t="shared" si="179"/>
        <v/>
      </c>
      <c r="AT42" t="str">
        <f t="shared" si="179"/>
        <v/>
      </c>
      <c r="AU42" t="str">
        <f t="shared" si="179"/>
        <v/>
      </c>
      <c r="AV42" t="str">
        <f t="shared" si="179"/>
        <v/>
      </c>
      <c r="AW42" t="str">
        <f t="shared" si="179"/>
        <v/>
      </c>
      <c r="AX42" t="str">
        <f t="shared" si="179"/>
        <v/>
      </c>
      <c r="AY42" t="str">
        <f t="shared" si="179"/>
        <v/>
      </c>
      <c r="AZ42" t="str">
        <f t="shared" si="179"/>
        <v/>
      </c>
      <c r="BA42" t="str">
        <f t="shared" si="179"/>
        <v/>
      </c>
      <c r="BB42" t="str">
        <f t="shared" si="179"/>
        <v/>
      </c>
      <c r="BC42" t="str">
        <f t="shared" si="179"/>
        <v/>
      </c>
      <c r="BD42" t="str">
        <f t="shared" si="179"/>
        <v/>
      </c>
      <c r="BE42" t="str">
        <f t="shared" si="179"/>
        <v/>
      </c>
      <c r="BF42" t="str">
        <f t="shared" si="179"/>
        <v/>
      </c>
      <c r="BG42" t="str">
        <f t="shared" si="179"/>
        <v/>
      </c>
      <c r="BH42" t="str">
        <f t="shared" si="179"/>
        <v/>
      </c>
      <c r="BI42" t="str">
        <f t="shared" si="179"/>
        <v/>
      </c>
      <c r="BJ42" t="str">
        <f t="shared" si="179"/>
        <v/>
      </c>
      <c r="BK42" t="str">
        <f t="shared" si="179"/>
        <v/>
      </c>
      <c r="BL42" t="str">
        <f t="shared" si="179"/>
        <v/>
      </c>
      <c r="BM42" t="str">
        <f t="shared" si="179"/>
        <v/>
      </c>
      <c r="BN42" t="str">
        <f t="shared" si="179"/>
        <v/>
      </c>
      <c r="BO42" t="str">
        <f t="shared" si="179"/>
        <v/>
      </c>
      <c r="BP42" t="str">
        <f t="shared" si="179"/>
        <v/>
      </c>
      <c r="BQ42" t="str">
        <f t="shared" si="179"/>
        <v/>
      </c>
      <c r="BR42" t="str">
        <f t="shared" si="179"/>
        <v/>
      </c>
      <c r="BS42" t="str">
        <f t="shared" si="179"/>
        <v/>
      </c>
      <c r="BT42" t="str">
        <f t="shared" si="179"/>
        <v/>
      </c>
      <c r="BU42" t="str">
        <f t="shared" si="179"/>
        <v/>
      </c>
      <c r="BV42" t="str">
        <f t="shared" si="179"/>
        <v/>
      </c>
      <c r="BW42" t="str">
        <f t="shared" si="179"/>
        <v/>
      </c>
      <c r="BX42" t="str">
        <f t="shared" si="181"/>
        <v/>
      </c>
      <c r="BY42" t="str">
        <f t="shared" ref="BY42:CT43" si="183">IF(BY$7&lt;=$E42,IF(BY$7&gt;=$D42,IF(((BY$7-$D42+1)/($E42-$D42+1))&lt;=$H42,$E$5,IF(BY$7&lt;$I$1,$H$5,"")),""),"")</f>
        <v/>
      </c>
      <c r="BZ42" t="str">
        <f t="shared" ca="1" si="183"/>
        <v/>
      </c>
      <c r="CA42" t="str">
        <f t="shared" ca="1" si="183"/>
        <v/>
      </c>
      <c r="CB42" t="str">
        <f t="shared" ca="1" si="183"/>
        <v/>
      </c>
      <c r="CC42" t="str">
        <f t="shared" ca="1" si="183"/>
        <v/>
      </c>
      <c r="CD42" t="str">
        <f t="shared" ca="1" si="183"/>
        <v/>
      </c>
      <c r="CE42" t="str">
        <f t="shared" ca="1" si="183"/>
        <v/>
      </c>
      <c r="CF42" t="str">
        <f t="shared" ca="1" si="183"/>
        <v/>
      </c>
      <c r="CG42" t="str">
        <f t="shared" ca="1" si="183"/>
        <v/>
      </c>
      <c r="CH42" t="str">
        <f t="shared" ca="1" si="183"/>
        <v/>
      </c>
      <c r="CI42" t="str">
        <f t="shared" ca="1" si="183"/>
        <v/>
      </c>
      <c r="CJ42" t="str">
        <f t="shared" ca="1" si="183"/>
        <v/>
      </c>
      <c r="CK42" t="str">
        <f t="shared" ca="1" si="183"/>
        <v/>
      </c>
      <c r="CL42" t="str">
        <f t="shared" ca="1" si="183"/>
        <v/>
      </c>
      <c r="CM42" t="str">
        <f t="shared" ca="1" si="183"/>
        <v/>
      </c>
      <c r="CN42" t="str">
        <f t="shared" ca="1" si="183"/>
        <v/>
      </c>
      <c r="CO42" t="str">
        <f t="shared" ca="1" si="183"/>
        <v/>
      </c>
      <c r="CP42" t="str">
        <f t="shared" ca="1" si="183"/>
        <v/>
      </c>
      <c r="CQ42" t="str">
        <f t="shared" ca="1" si="183"/>
        <v/>
      </c>
      <c r="CR42" t="str">
        <f t="shared" ca="1" si="183"/>
        <v/>
      </c>
      <c r="CS42" t="str">
        <f t="shared" ca="1" si="183"/>
        <v/>
      </c>
      <c r="CT42" t="str">
        <f t="shared" ca="1" si="183"/>
        <v/>
      </c>
      <c r="CU42" t="str">
        <f t="shared" si="145"/>
        <v/>
      </c>
      <c r="CV42" t="str">
        <f t="shared" si="145"/>
        <v/>
      </c>
      <c r="CW42" t="str">
        <f t="shared" si="145"/>
        <v/>
      </c>
      <c r="CX42" t="str">
        <f t="shared" si="145"/>
        <v/>
      </c>
      <c r="CY42" t="str">
        <f t="shared" si="145"/>
        <v/>
      </c>
      <c r="CZ42" t="str">
        <f t="shared" si="177"/>
        <v/>
      </c>
      <c r="DA42" t="str">
        <f t="shared" si="177"/>
        <v/>
      </c>
      <c r="DB42" t="str">
        <f t="shared" si="177"/>
        <v/>
      </c>
      <c r="DC42" t="str">
        <f t="shared" si="177"/>
        <v/>
      </c>
      <c r="DD42" t="str">
        <f t="shared" si="177"/>
        <v/>
      </c>
      <c r="DE42" t="str">
        <f t="shared" ca="1" si="177"/>
        <v/>
      </c>
      <c r="DF42" t="str">
        <f t="shared" ca="1" si="177"/>
        <v/>
      </c>
      <c r="DG42" t="str">
        <f t="shared" ca="1" si="177"/>
        <v/>
      </c>
      <c r="DH42" t="str">
        <f t="shared" ca="1" si="177"/>
        <v/>
      </c>
      <c r="DI42" t="str">
        <f t="shared" ca="1" si="177"/>
        <v/>
      </c>
      <c r="DJ42" t="str">
        <f t="shared" si="177"/>
        <v/>
      </c>
      <c r="DK42" t="str">
        <f t="shared" si="177"/>
        <v/>
      </c>
      <c r="DL42" t="str">
        <f t="shared" si="177"/>
        <v/>
      </c>
      <c r="DM42" t="str">
        <f t="shared" si="177"/>
        <v/>
      </c>
      <c r="DN42" t="str">
        <f t="shared" si="177"/>
        <v/>
      </c>
      <c r="DO42" t="str">
        <f t="shared" si="177"/>
        <v/>
      </c>
      <c r="DP42" t="str">
        <f t="shared" si="177"/>
        <v/>
      </c>
      <c r="DQ42" t="str">
        <f t="shared" si="177"/>
        <v/>
      </c>
      <c r="DR42" t="str">
        <f t="shared" si="177"/>
        <v/>
      </c>
      <c r="DS42" t="str">
        <f t="shared" si="177"/>
        <v/>
      </c>
      <c r="DT42" t="str">
        <f t="shared" si="177"/>
        <v/>
      </c>
      <c r="DU42" t="str">
        <f t="shared" si="177"/>
        <v/>
      </c>
    </row>
    <row r="43" spans="1:125">
      <c r="A43" s="13">
        <v>35</v>
      </c>
      <c r="B43" s="15" t="s">
        <v>153</v>
      </c>
      <c r="C43" s="15"/>
      <c r="D43" s="15">
        <f>E42+1</f>
        <v>45792</v>
      </c>
      <c r="E43" s="15">
        <v>45803</v>
      </c>
      <c r="F43" s="15"/>
      <c r="G43" s="15"/>
      <c r="H43" s="29">
        <v>0</v>
      </c>
      <c r="I43" s="15" t="s">
        <v>155</v>
      </c>
      <c r="J43" s="15" t="s">
        <v>173</v>
      </c>
      <c r="K43" s="14"/>
      <c r="L43" s="64"/>
      <c r="M43" t="str">
        <f t="shared" si="141"/>
        <v/>
      </c>
      <c r="N43" t="str">
        <f t="shared" si="141"/>
        <v/>
      </c>
      <c r="O43" t="str">
        <f t="shared" si="142"/>
        <v/>
      </c>
      <c r="P43" t="str">
        <f t="shared" si="179"/>
        <v/>
      </c>
      <c r="Q43" t="str">
        <f t="shared" si="179"/>
        <v/>
      </c>
      <c r="R43" t="str">
        <f t="shared" si="179"/>
        <v/>
      </c>
      <c r="S43" t="str">
        <f t="shared" si="179"/>
        <v/>
      </c>
      <c r="T43" t="str">
        <f t="shared" si="179"/>
        <v/>
      </c>
      <c r="U43" t="str">
        <f t="shared" si="179"/>
        <v/>
      </c>
      <c r="V43" t="str">
        <f t="shared" si="179"/>
        <v/>
      </c>
      <c r="W43" t="str">
        <f t="shared" si="179"/>
        <v/>
      </c>
      <c r="X43" t="str">
        <f t="shared" si="179"/>
        <v/>
      </c>
      <c r="Y43" t="str">
        <f t="shared" si="179"/>
        <v/>
      </c>
      <c r="Z43" t="str">
        <f t="shared" si="179"/>
        <v/>
      </c>
      <c r="AA43" t="str">
        <f t="shared" si="179"/>
        <v/>
      </c>
      <c r="AB43" t="str">
        <f t="shared" si="179"/>
        <v/>
      </c>
      <c r="AC43" t="str">
        <f t="shared" si="179"/>
        <v/>
      </c>
      <c r="AD43" t="str">
        <f t="shared" si="179"/>
        <v/>
      </c>
      <c r="AE43" t="str">
        <f t="shared" si="179"/>
        <v/>
      </c>
      <c r="AF43" t="str">
        <f t="shared" si="179"/>
        <v/>
      </c>
      <c r="AG43" t="str">
        <f t="shared" si="179"/>
        <v/>
      </c>
      <c r="AH43" t="str">
        <f t="shared" si="179"/>
        <v/>
      </c>
      <c r="AI43" t="str">
        <f t="shared" si="179"/>
        <v/>
      </c>
      <c r="AJ43" t="str">
        <f t="shared" si="179"/>
        <v/>
      </c>
      <c r="AK43" t="str">
        <f t="shared" si="179"/>
        <v/>
      </c>
      <c r="AL43" t="str">
        <f t="shared" si="179"/>
        <v/>
      </c>
      <c r="AM43" t="str">
        <f t="shared" si="179"/>
        <v/>
      </c>
      <c r="AN43" t="str">
        <f t="shared" si="179"/>
        <v/>
      </c>
      <c r="AO43" t="str">
        <f t="shared" si="179"/>
        <v/>
      </c>
      <c r="AP43" t="str">
        <f t="shared" si="179"/>
        <v/>
      </c>
      <c r="AQ43" t="str">
        <f t="shared" si="179"/>
        <v/>
      </c>
      <c r="AR43" t="str">
        <f t="shared" si="179"/>
        <v/>
      </c>
      <c r="AS43" t="str">
        <f t="shared" si="179"/>
        <v/>
      </c>
      <c r="AT43" t="str">
        <f t="shared" si="179"/>
        <v/>
      </c>
      <c r="AU43" t="str">
        <f t="shared" si="179"/>
        <v/>
      </c>
      <c r="AV43" t="str">
        <f t="shared" si="179"/>
        <v/>
      </c>
      <c r="AW43" t="str">
        <f t="shared" si="179"/>
        <v/>
      </c>
      <c r="AX43" t="str">
        <f t="shared" si="179"/>
        <v/>
      </c>
      <c r="AY43" t="str">
        <f t="shared" si="179"/>
        <v/>
      </c>
      <c r="AZ43" t="str">
        <f t="shared" si="179"/>
        <v/>
      </c>
      <c r="BA43" t="str">
        <f t="shared" si="179"/>
        <v/>
      </c>
      <c r="BB43" t="str">
        <f t="shared" si="179"/>
        <v/>
      </c>
      <c r="BC43" t="str">
        <f t="shared" si="179"/>
        <v/>
      </c>
      <c r="BD43" t="str">
        <f t="shared" si="179"/>
        <v/>
      </c>
      <c r="BE43" t="str">
        <f t="shared" si="179"/>
        <v/>
      </c>
      <c r="BF43" t="str">
        <f t="shared" si="179"/>
        <v/>
      </c>
      <c r="BG43" t="str">
        <f t="shared" si="179"/>
        <v/>
      </c>
      <c r="BH43" t="str">
        <f t="shared" si="179"/>
        <v/>
      </c>
      <c r="BI43" t="str">
        <f t="shared" si="179"/>
        <v/>
      </c>
      <c r="BJ43" t="str">
        <f t="shared" si="179"/>
        <v/>
      </c>
      <c r="BK43" t="str">
        <f t="shared" si="179"/>
        <v/>
      </c>
      <c r="BL43" t="str">
        <f t="shared" si="179"/>
        <v/>
      </c>
      <c r="BM43" t="str">
        <f t="shared" si="179"/>
        <v/>
      </c>
      <c r="BN43" t="str">
        <f t="shared" si="179"/>
        <v/>
      </c>
      <c r="BO43" t="str">
        <f t="shared" si="179"/>
        <v/>
      </c>
      <c r="BP43" t="str">
        <f t="shared" si="179"/>
        <v/>
      </c>
      <c r="BQ43" t="str">
        <f t="shared" si="179"/>
        <v/>
      </c>
      <c r="BR43" t="str">
        <f t="shared" si="179"/>
        <v/>
      </c>
      <c r="BS43" t="str">
        <f t="shared" si="179"/>
        <v/>
      </c>
      <c r="BT43" t="str">
        <f t="shared" si="179"/>
        <v/>
      </c>
      <c r="BU43" t="str">
        <f t="shared" si="179"/>
        <v/>
      </c>
      <c r="BV43" t="str">
        <f t="shared" si="179"/>
        <v/>
      </c>
      <c r="BW43" t="str">
        <f t="shared" si="179"/>
        <v/>
      </c>
      <c r="BX43" t="str">
        <f t="shared" si="181"/>
        <v/>
      </c>
      <c r="BY43" t="str">
        <f t="shared" si="183"/>
        <v/>
      </c>
      <c r="BZ43" t="str">
        <f t="shared" si="183"/>
        <v/>
      </c>
      <c r="CA43" t="str">
        <f t="shared" si="183"/>
        <v/>
      </c>
      <c r="CB43" t="str">
        <f t="shared" si="183"/>
        <v/>
      </c>
      <c r="CC43" t="str">
        <f t="shared" si="183"/>
        <v/>
      </c>
      <c r="CD43" t="str">
        <f t="shared" si="183"/>
        <v/>
      </c>
      <c r="CE43" t="str">
        <f t="shared" si="183"/>
        <v/>
      </c>
      <c r="CF43" t="str">
        <f t="shared" si="183"/>
        <v/>
      </c>
      <c r="CG43" t="str">
        <f t="shared" si="183"/>
        <v/>
      </c>
      <c r="CH43" t="str">
        <f t="shared" si="183"/>
        <v/>
      </c>
      <c r="CI43" t="str">
        <f t="shared" si="183"/>
        <v/>
      </c>
      <c r="CJ43" t="str">
        <f t="shared" si="183"/>
        <v/>
      </c>
      <c r="CK43" t="str">
        <f t="shared" si="183"/>
        <v/>
      </c>
      <c r="CL43" t="str">
        <f t="shared" si="183"/>
        <v/>
      </c>
      <c r="CM43" t="str">
        <f t="shared" si="183"/>
        <v/>
      </c>
      <c r="CN43" t="str">
        <f t="shared" si="183"/>
        <v/>
      </c>
      <c r="CO43" t="str">
        <f t="shared" si="183"/>
        <v/>
      </c>
      <c r="CP43" t="str">
        <f t="shared" si="183"/>
        <v/>
      </c>
      <c r="CQ43" t="str">
        <f t="shared" si="183"/>
        <v/>
      </c>
      <c r="CR43" t="str">
        <f t="shared" si="183"/>
        <v/>
      </c>
      <c r="CS43" t="str">
        <f t="shared" si="183"/>
        <v/>
      </c>
      <c r="CT43" t="str">
        <f t="shared" si="183"/>
        <v/>
      </c>
      <c r="CU43" t="str">
        <f t="shared" ref="CU43:DU43" si="184">IF(AND(CU$7&lt;=$E43,CU$7+6&gt;=$D43),IF((((IF(CU$7&gt;$D43,CU$7-$D43+1,1))+(IF(AND($I$1&gt;CU$7,$I$1&lt;=CU$7+6),IF(CU$7&gt;$I$1,$I$1-CU$7,0),0)))/($E43-$D43+1))&lt;=$H43,$E$5,IF(CU$7&lt;$I$1,$H$5,"")),"")</f>
        <v/>
      </c>
      <c r="CV43" t="str">
        <f t="shared" si="184"/>
        <v/>
      </c>
      <c r="CW43" t="str">
        <f t="shared" si="184"/>
        <v/>
      </c>
      <c r="CX43" t="str">
        <f t="shared" si="184"/>
        <v/>
      </c>
      <c r="CY43" t="str">
        <f t="shared" si="184"/>
        <v/>
      </c>
      <c r="CZ43" t="str">
        <f t="shared" si="184"/>
        <v/>
      </c>
      <c r="DA43" t="str">
        <f t="shared" si="184"/>
        <v/>
      </c>
      <c r="DB43" t="str">
        <f t="shared" si="184"/>
        <v/>
      </c>
      <c r="DC43" t="str">
        <f t="shared" si="184"/>
        <v/>
      </c>
      <c r="DD43" t="str">
        <f t="shared" si="184"/>
        <v/>
      </c>
      <c r="DE43" t="str">
        <f t="shared" si="184"/>
        <v/>
      </c>
      <c r="DF43" t="str">
        <f t="shared" si="184"/>
        <v/>
      </c>
      <c r="DG43" t="str">
        <f t="shared" si="184"/>
        <v/>
      </c>
      <c r="DH43" t="str">
        <f t="shared" si="184"/>
        <v/>
      </c>
      <c r="DI43" t="str">
        <f t="shared" ca="1" si="184"/>
        <v/>
      </c>
      <c r="DJ43" t="str">
        <f t="shared" ca="1" si="184"/>
        <v/>
      </c>
      <c r="DK43" t="str">
        <f t="shared" ca="1" si="184"/>
        <v/>
      </c>
      <c r="DL43" t="str">
        <f t="shared" si="184"/>
        <v/>
      </c>
      <c r="DM43" t="str">
        <f t="shared" si="184"/>
        <v/>
      </c>
      <c r="DN43" t="str">
        <f t="shared" si="184"/>
        <v/>
      </c>
      <c r="DO43" t="str">
        <f t="shared" si="184"/>
        <v/>
      </c>
      <c r="DP43" t="str">
        <f t="shared" si="184"/>
        <v/>
      </c>
      <c r="DQ43" t="str">
        <f t="shared" si="184"/>
        <v/>
      </c>
      <c r="DR43" t="str">
        <f t="shared" si="184"/>
        <v/>
      </c>
      <c r="DS43" t="str">
        <f t="shared" si="184"/>
        <v/>
      </c>
      <c r="DT43" t="str">
        <f t="shared" si="184"/>
        <v/>
      </c>
      <c r="DU43" t="str">
        <f t="shared" si="184"/>
        <v/>
      </c>
    </row>
    <row r="44" spans="1:125">
      <c r="A44" s="78">
        <v>36</v>
      </c>
      <c r="D44" t="s">
        <v>178</v>
      </c>
      <c r="E44" t="s">
        <v>177</v>
      </c>
      <c r="I44" t="s">
        <v>179</v>
      </c>
      <c r="J44" t="s">
        <v>177</v>
      </c>
    </row>
  </sheetData>
  <sheetProtection formatCells="0" formatColumns="0" formatRows="0" insertRows="0" deleteRows="0" autoFilter="0"/>
  <autoFilter ref="I7:L7" xr:uid="{00000000-0009-0000-0000-000001000000}"/>
  <customSheetViews>
    <customSheetView guid="{6D9A68C5-8FD5-4F3E-8B6F-ABAD4F746D70}" scale="75" fitToPage="1" showAutoFilter="1" hiddenRows="1" hiddenColumns="1" showRuler="0">
      <pane xSplit="10" ySplit="7" topLeftCell="K8" activePane="bottomRight" state="frozenSplit"/>
      <selection pane="bottomRight" activeCell="V11" sqref="V11"/>
      <pageMargins left="0.7" right="0.7" top="0.75" bottom="0.75" header="0.3" footer="0.3"/>
      <pageSetup paperSize="9" scale="37" fitToHeight="10" orientation="landscape" horizontalDpi="200" verticalDpi="200"/>
      <autoFilter ref="B1:E1" xr:uid="{3AAC517C-9A92-4E48-802D-F6FCBAC42406}"/>
    </customSheetView>
  </customSheetViews>
  <mergeCells count="1">
    <mergeCell ref="I1:J1"/>
  </mergeCells>
  <phoneticPr fontId="2" type="noConversion"/>
  <conditionalFormatting sqref="M4:CT4 M6:CT7">
    <cfRule type="expression" dxfId="18" priority="7" stopIfTrue="1">
      <formula>M$7=$I$1</formula>
    </cfRule>
  </conditionalFormatting>
  <conditionalFormatting sqref="CU4:DU4 CU6:DU7">
    <cfRule type="expression" dxfId="17" priority="8" stopIfTrue="1">
      <formula>AND((CU$7+6)&gt;=$I$1,CU$7&lt;=$I$1)</formula>
    </cfRule>
  </conditionalFormatting>
  <conditionalFormatting sqref="A8:L8">
    <cfRule type="expression" dxfId="16" priority="9" stopIfTrue="1">
      <formula>OR($I8="已完成",$I8="延期")</formula>
    </cfRule>
    <cfRule type="expression" dxfId="15" priority="10" stopIfTrue="1">
      <formula>OR($I8="進行中",$I8="等待某人")</formula>
    </cfRule>
  </conditionalFormatting>
  <conditionalFormatting sqref="A14:A16 A18:A20 A22:A24 A26:A28 A30:A32 A34:A36 A38:A40 A42:A44 A10:L12 B13:L43">
    <cfRule type="expression" dxfId="14" priority="11" stopIfTrue="1">
      <formula>OR($I10="已完成",$I10="延期")</formula>
    </cfRule>
    <cfRule type="expression" dxfId="13" priority="12" stopIfTrue="1">
      <formula>AND($I10&lt;&gt;"已完成",$E10&lt;=$I$1,$B10&lt;&gt;"",$E10&lt;&gt;"")</formula>
    </cfRule>
    <cfRule type="expression" dxfId="12" priority="13" stopIfTrue="1">
      <formula>OR($I10="進行中",$I10="等待某人")</formula>
    </cfRule>
  </conditionalFormatting>
  <conditionalFormatting sqref="M8:CT43">
    <cfRule type="expression" dxfId="11" priority="14" stopIfTrue="1">
      <formula>AND(AND(M$7&gt;=$D8,M$7&lt;=$E8),OR($I8="已完成",$I8="已取消"))=TRUE</formula>
    </cfRule>
    <cfRule type="expression" dxfId="10" priority="15" stopIfTrue="1">
      <formula>AND(M$7&gt;=$D8,M$7&lt;=$E8)=TRUE</formula>
    </cfRule>
    <cfRule type="expression" dxfId="9" priority="16" stopIfTrue="1">
      <formula>M$6&gt;=6</formula>
    </cfRule>
  </conditionalFormatting>
  <conditionalFormatting sqref="CU8:DU43">
    <cfRule type="expression" dxfId="8" priority="17" stopIfTrue="1">
      <formula>AND(AND(CU$7&gt;=$D8-6,CU$7&lt;=$E8),OR($I8="已完成",$I8="已取消"))=TRUE</formula>
    </cfRule>
    <cfRule type="expression" dxfId="7" priority="18" stopIfTrue="1">
      <formula>AND(CU$7&gt;=$D8-6,CU$7&lt;=$E8)=TRUE</formula>
    </cfRule>
    <cfRule type="expression" dxfId="6" priority="19" stopIfTrue="1">
      <formula>AND((CU$7+6)&gt;=$I$1,CU$7&lt;=$I$1)</formula>
    </cfRule>
  </conditionalFormatting>
  <conditionalFormatting sqref="A9:I9 A13 A17 A21 A25 A29 A33 A37 A41 K9:L9">
    <cfRule type="expression" dxfId="5" priority="4" stopIfTrue="1">
      <formula>OR($I9="已完成",$I9="延期")</formula>
    </cfRule>
    <cfRule type="expression" dxfId="4" priority="5" stopIfTrue="1">
      <formula>AND($I9&lt;&gt;"已完成",$E9&lt;=$I$1,$B9&lt;&gt;"",$E9&lt;&gt;"")</formula>
    </cfRule>
    <cfRule type="expression" dxfId="3" priority="6" stopIfTrue="1">
      <formula>OR($I9="進行中",$I9="等待某人")</formula>
    </cfRule>
  </conditionalFormatting>
  <conditionalFormatting sqref="J9">
    <cfRule type="expression" dxfId="2" priority="1" stopIfTrue="1">
      <formula>OR($I9="已完成",$I9="延期")</formula>
    </cfRule>
    <cfRule type="expression" dxfId="1" priority="2" stopIfTrue="1">
      <formula>AND($I9&lt;&gt;"已完成",$E9&lt;=$I$1,$B9&lt;&gt;"",$E9&lt;&gt;"")</formula>
    </cfRule>
    <cfRule type="expression" dxfId="0" priority="3" stopIfTrue="1">
      <formula>OR($I9="進行中",$I9="等待某人")</formula>
    </cfRule>
  </conditionalFormatting>
  <dataValidations disablePrompts="1" count="6">
    <dataValidation type="list" allowBlank="1" showInputMessage="1" showErrorMessage="1" sqref="E2" xr:uid="{00000000-0002-0000-0100-000000000000}">
      <formula1>"1,2,3,4,5,6,7,8,9,10,11,12"</formula1>
    </dataValidation>
    <dataValidation type="whole" imeMode="off" allowBlank="1" showInputMessage="1" showErrorMessage="1" errorTitle="西元年" error="輸入 2004~2100 年" promptTitle="西元年" prompt="可輸入 2004~2100 年" sqref="C2" xr:uid="{00000000-0002-0000-0100-000002000000}">
      <formula1>2004</formula1>
      <formula2>2100</formula2>
    </dataValidation>
    <dataValidation type="decimal" allowBlank="1" showInputMessage="1" showErrorMessage="1" sqref="D5" xr:uid="{00000000-0002-0000-0100-000004000000}">
      <formula1>1</formula1>
      <formula2>31</formula2>
    </dataValidation>
    <dataValidation type="list" allowBlank="1" showInputMessage="1" showErrorMessage="1" sqref="A5" xr:uid="{00000000-0002-0000-0100-000005000000}">
      <formula1>"D,W"</formula1>
    </dataValidation>
    <dataValidation type="list" allowBlank="1" showInputMessage="1" showErrorMessage="1" sqref="I8:I43" xr:uid="{00000000-0002-0000-0100-000001000000}">
      <formula1>"未開始,進行中,已完成,等待某人,延期"</formula1>
    </dataValidation>
    <dataValidation type="list" allowBlank="1" showInputMessage="1" showErrorMessage="1" sqref="L8:L43" xr:uid="{00000000-0002-0000-0100-000003000000}">
      <formula1>"1,0"</formula1>
    </dataValidation>
  </dataValidations>
  <pageMargins left="0.39370078740157483" right="0.39370078740157483" top="0.59055118110236227" bottom="0.59055118110236227" header="0.51181102362204722" footer="0.51181102362204722"/>
  <pageSetup paperSize="9" scale="53" fitToHeight="10" orientation="landscape" horizontalDpi="200" verticalDpi="200"/>
  <cellWatches>
    <cellWatch r="C3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" r:id="rId3" name="Button 603">
              <controlPr defaultSize="0" print="0" autoFill="0" autoPict="0" macro="[0]!按鈕601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698500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24"/>
  </sheetPr>
  <dimension ref="A1:L8"/>
  <sheetViews>
    <sheetView showGridLines="0" zoomScale="150" workbookViewId="0">
      <selection activeCell="O18" sqref="O18"/>
    </sheetView>
  </sheetViews>
  <sheetFormatPr baseColWidth="10" defaultColWidth="8.83203125" defaultRowHeight="15"/>
  <cols>
    <col min="1" max="1" width="5.6640625" customWidth="1"/>
    <col min="2" max="2" width="17.6640625" customWidth="1"/>
    <col min="3" max="3" width="9.6640625" customWidth="1"/>
    <col min="4" max="5" width="11.1640625" customWidth="1"/>
    <col min="6" max="6" width="6.6640625" customWidth="1"/>
    <col min="7" max="7" width="11" bestFit="1" customWidth="1"/>
    <col min="8" max="8" width="9.83203125" customWidth="1"/>
    <col min="9" max="9" width="10.6640625" bestFit="1" customWidth="1"/>
  </cols>
  <sheetData>
    <row r="1" spans="1:12">
      <c r="A1" s="9"/>
      <c r="B1" s="9" t="s">
        <v>24</v>
      </c>
      <c r="C1" s="9" t="str">
        <f>Config!B4</f>
        <v>CAMPAGIN3PCLOUD</v>
      </c>
      <c r="D1" s="9"/>
      <c r="E1" s="9"/>
      <c r="F1" s="9" t="s">
        <v>25</v>
      </c>
      <c r="G1" s="18">
        <f ca="1">TODAY()</f>
        <v>45705</v>
      </c>
      <c r="H1" s="9"/>
      <c r="I1" s="9"/>
    </row>
    <row r="2" spans="1:12">
      <c r="B2" s="7"/>
      <c r="C2" s="16"/>
      <c r="L2" t="s">
        <v>32</v>
      </c>
    </row>
    <row r="3" spans="1:12">
      <c r="B3" s="7" t="s">
        <v>30</v>
      </c>
      <c r="C3" s="31">
        <v>30</v>
      </c>
      <c r="D3" t="s">
        <v>31</v>
      </c>
      <c r="F3" t="s">
        <v>145</v>
      </c>
    </row>
    <row r="4" spans="1:12">
      <c r="B4" s="7"/>
      <c r="C4" s="16"/>
      <c r="L4" t="s">
        <v>33</v>
      </c>
    </row>
    <row r="5" spans="1:12">
      <c r="A5" s="5"/>
      <c r="B5" s="5"/>
      <c r="C5" s="5"/>
      <c r="D5" s="5" t="s">
        <v>62</v>
      </c>
      <c r="E5" s="5" t="s">
        <v>62</v>
      </c>
      <c r="F5" s="5"/>
      <c r="G5" s="5"/>
      <c r="H5" s="93"/>
      <c r="I5" s="94"/>
    </row>
    <row r="6" spans="1:12">
      <c r="A6" s="6" t="s">
        <v>1</v>
      </c>
      <c r="B6" s="6" t="s">
        <v>0</v>
      </c>
      <c r="C6" s="6" t="s">
        <v>3</v>
      </c>
      <c r="D6" s="6" t="s">
        <v>69</v>
      </c>
      <c r="E6" s="6" t="s">
        <v>70</v>
      </c>
      <c r="F6" s="6" t="s">
        <v>8</v>
      </c>
      <c r="G6" s="6" t="s">
        <v>2</v>
      </c>
      <c r="H6" s="11" t="s">
        <v>11</v>
      </c>
      <c r="I6" s="12" t="s">
        <v>29</v>
      </c>
      <c r="L6" t="s">
        <v>34</v>
      </c>
    </row>
    <row r="7" spans="1:12">
      <c r="D7" s="66"/>
      <c r="E7" s="66"/>
      <c r="F7" s="67"/>
    </row>
    <row r="8" spans="1:12">
      <c r="D8" s="66"/>
      <c r="E8" s="66"/>
      <c r="F8" s="67"/>
    </row>
  </sheetData>
  <customSheetViews>
    <customSheetView guid="{6D9A68C5-8FD5-4F3E-8B6F-ABAD4F746D70}" scale="75" showRuler="0">
      <selection activeCell="G9" sqref="G9"/>
      <pageMargins left="0.7" right="0.7" top="0.75" bottom="0.75" header="0.3" footer="0.3"/>
      <pageSetup paperSize="9" orientation="portrait"/>
    </customSheetView>
  </customSheetViews>
  <mergeCells count="1">
    <mergeCell ref="H5:I5"/>
  </mergeCells>
  <phoneticPr fontId="2" type="noConversion"/>
  <dataValidations count="3">
    <dataValidation type="list" allowBlank="1" showInputMessage="1" showErrorMessage="1" sqref="C4" xr:uid="{00000000-0002-0000-0200-000000000000}">
      <formula1>"1,2,3,4,5,6,7,8,9,10,11,12"</formula1>
    </dataValidation>
    <dataValidation type="whole" allowBlank="1" showErrorMessage="1" errorTitle="警示天數" error="1~7天" sqref="C3" xr:uid="{00000000-0002-0000-0200-000001000000}">
      <formula1>1</formula1>
      <formula2>31</formula2>
    </dataValidation>
    <dataValidation type="list" allowBlank="1" showInputMessage="1" showErrorMessage="1" sqref="I6 I7:I8" xr:uid="{00000000-0002-0000-0200-000002000000}">
      <formula1>"通知,不通知"</formula1>
    </dataValidation>
  </dataValidations>
  <pageMargins left="0.75" right="0.75" top="1" bottom="1" header="0.5" footer="0.5"/>
  <pageSetup paperSize="9" orientation="portrait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24"/>
  </sheetPr>
  <dimension ref="A1:F53"/>
  <sheetViews>
    <sheetView zoomScale="150" workbookViewId="0">
      <selection activeCell="B7" sqref="B7"/>
    </sheetView>
  </sheetViews>
  <sheetFormatPr baseColWidth="10" defaultColWidth="8.83203125" defaultRowHeight="15"/>
  <cols>
    <col min="2" max="2" width="11.6640625" customWidth="1"/>
    <col min="3" max="3" width="13.83203125" customWidth="1"/>
    <col min="4" max="5" width="23.6640625" customWidth="1"/>
    <col min="6" max="6" width="20.83203125" customWidth="1"/>
  </cols>
  <sheetData>
    <row r="1" spans="1:6">
      <c r="A1" s="19"/>
      <c r="B1" s="20" t="s">
        <v>24</v>
      </c>
      <c r="C1" s="20" t="str">
        <f>Config!B4</f>
        <v>CAMPAGIN3PCLOUD</v>
      </c>
      <c r="D1" s="20" t="s">
        <v>25</v>
      </c>
      <c r="E1" s="27">
        <f ca="1">TODAY()</f>
        <v>45705</v>
      </c>
      <c r="F1" s="21"/>
    </row>
    <row r="2" spans="1:6">
      <c r="A2" s="95" t="s">
        <v>131</v>
      </c>
      <c r="B2" s="96"/>
      <c r="C2" s="96"/>
      <c r="D2" s="96"/>
      <c r="E2" s="96"/>
      <c r="F2" s="97"/>
    </row>
    <row r="3" spans="1:6">
      <c r="A3" s="11" t="s">
        <v>13</v>
      </c>
      <c r="B3" s="11" t="s">
        <v>14</v>
      </c>
      <c r="C3" s="11" t="s">
        <v>15</v>
      </c>
      <c r="D3" s="11" t="s">
        <v>16</v>
      </c>
      <c r="E3" s="11" t="s">
        <v>22</v>
      </c>
      <c r="F3" s="11" t="s">
        <v>17</v>
      </c>
    </row>
    <row r="4" spans="1:6">
      <c r="A4" s="28">
        <v>1</v>
      </c>
      <c r="B4" s="65" t="s">
        <v>165</v>
      </c>
      <c r="C4" s="65" t="s">
        <v>165</v>
      </c>
      <c r="E4" s="65"/>
      <c r="F4" s="65"/>
    </row>
    <row r="5" spans="1:6">
      <c r="A5" s="28">
        <v>2</v>
      </c>
      <c r="B5" s="65" t="s">
        <v>166</v>
      </c>
      <c r="C5" s="65" t="s">
        <v>166</v>
      </c>
      <c r="D5" s="65"/>
      <c r="E5" s="65"/>
      <c r="F5" s="65"/>
    </row>
    <row r="6" spans="1:6">
      <c r="A6" s="28">
        <v>3</v>
      </c>
      <c r="B6" s="65" t="s">
        <v>167</v>
      </c>
      <c r="C6" s="65" t="s">
        <v>167</v>
      </c>
      <c r="E6" s="65"/>
      <c r="F6" s="65"/>
    </row>
    <row r="7" spans="1:6">
      <c r="A7" s="28">
        <v>4</v>
      </c>
      <c r="B7" s="65" t="s">
        <v>168</v>
      </c>
      <c r="C7" s="65" t="s">
        <v>168</v>
      </c>
      <c r="D7" s="65"/>
      <c r="E7" s="65"/>
      <c r="F7" s="65"/>
    </row>
    <row r="8" spans="1:6">
      <c r="A8" s="28">
        <v>5</v>
      </c>
      <c r="B8" s="65"/>
      <c r="C8" s="65"/>
      <c r="E8" s="65"/>
      <c r="F8" s="65"/>
    </row>
    <row r="9" spans="1:6">
      <c r="A9" s="28">
        <v>6</v>
      </c>
      <c r="B9" s="65"/>
      <c r="C9" s="65"/>
      <c r="D9" s="65"/>
      <c r="E9" s="65"/>
      <c r="F9" s="65"/>
    </row>
    <row r="10" spans="1:6">
      <c r="A10" s="28">
        <v>7</v>
      </c>
      <c r="B10" s="65"/>
      <c r="C10" s="65"/>
      <c r="D10" s="65"/>
      <c r="E10" s="65"/>
      <c r="F10" s="65"/>
    </row>
    <row r="11" spans="1:6">
      <c r="A11" s="28">
        <v>8</v>
      </c>
      <c r="B11" s="65"/>
      <c r="C11" s="65"/>
      <c r="D11" s="65"/>
      <c r="E11" s="65"/>
      <c r="F11" s="65"/>
    </row>
    <row r="12" spans="1:6">
      <c r="A12" s="28">
        <v>9</v>
      </c>
      <c r="B12" s="65"/>
      <c r="C12" s="65"/>
      <c r="D12" s="65"/>
      <c r="E12" s="65"/>
      <c r="F12" s="65"/>
    </row>
    <row r="13" spans="1:6">
      <c r="A13" s="28">
        <v>10</v>
      </c>
      <c r="B13" s="65"/>
      <c r="C13" s="65"/>
      <c r="D13" s="65"/>
      <c r="E13" s="65"/>
      <c r="F13" s="65"/>
    </row>
    <row r="14" spans="1:6">
      <c r="A14" s="28">
        <v>11</v>
      </c>
      <c r="B14" s="65"/>
      <c r="C14" s="65"/>
      <c r="D14" s="65"/>
      <c r="E14" s="65"/>
      <c r="F14" s="65"/>
    </row>
    <row r="15" spans="1:6">
      <c r="A15" s="28">
        <v>12</v>
      </c>
      <c r="B15" s="65"/>
      <c r="C15" s="65"/>
      <c r="D15" s="65"/>
      <c r="E15" s="65"/>
      <c r="F15" s="65"/>
    </row>
    <row r="16" spans="1:6">
      <c r="A16" s="28">
        <v>13</v>
      </c>
      <c r="B16" s="65"/>
      <c r="C16" s="65"/>
      <c r="D16" s="65"/>
      <c r="E16" s="65"/>
      <c r="F16" s="65"/>
    </row>
    <row r="17" spans="1:6">
      <c r="A17" s="28">
        <v>14</v>
      </c>
      <c r="B17" s="65"/>
      <c r="C17" s="65"/>
      <c r="D17" s="65"/>
      <c r="E17" s="65"/>
      <c r="F17" s="65"/>
    </row>
    <row r="18" spans="1:6">
      <c r="A18" s="28">
        <v>15</v>
      </c>
      <c r="B18" s="65"/>
      <c r="C18" s="65"/>
      <c r="D18" s="65"/>
      <c r="E18" s="65"/>
      <c r="F18" s="65"/>
    </row>
    <row r="19" spans="1:6">
      <c r="A19" s="28">
        <v>16</v>
      </c>
      <c r="B19" s="65"/>
      <c r="C19" s="65"/>
      <c r="D19" s="65"/>
      <c r="E19" s="65"/>
      <c r="F19" s="65"/>
    </row>
    <row r="20" spans="1:6">
      <c r="A20" s="28">
        <v>17</v>
      </c>
      <c r="B20" s="65"/>
      <c r="C20" s="65"/>
      <c r="D20" s="65"/>
      <c r="E20" s="65"/>
      <c r="F20" s="65"/>
    </row>
    <row r="21" spans="1:6">
      <c r="A21" s="28">
        <v>18</v>
      </c>
      <c r="B21" s="65"/>
      <c r="C21" s="65"/>
      <c r="D21" s="65"/>
      <c r="E21" s="65"/>
      <c r="F21" s="65"/>
    </row>
    <row r="22" spans="1:6">
      <c r="A22" s="28">
        <v>19</v>
      </c>
      <c r="B22" s="65"/>
      <c r="C22" s="65"/>
      <c r="D22" s="65"/>
      <c r="E22" s="65"/>
      <c r="F22" s="65"/>
    </row>
    <row r="23" spans="1:6">
      <c r="A23" s="28">
        <v>20</v>
      </c>
      <c r="B23" s="65"/>
      <c r="C23" s="65"/>
      <c r="D23" s="65"/>
      <c r="E23" s="65"/>
      <c r="F23" s="65"/>
    </row>
    <row r="24" spans="1:6">
      <c r="A24" s="28">
        <v>21</v>
      </c>
      <c r="B24" s="65"/>
      <c r="C24" s="65"/>
      <c r="D24" s="65"/>
      <c r="E24" s="65"/>
      <c r="F24" s="65"/>
    </row>
    <row r="25" spans="1:6">
      <c r="A25" s="28">
        <v>22</v>
      </c>
      <c r="B25" s="65"/>
      <c r="C25" s="65"/>
      <c r="D25" s="65"/>
      <c r="E25" s="65"/>
      <c r="F25" s="65"/>
    </row>
    <row r="26" spans="1:6">
      <c r="A26" s="28">
        <v>23</v>
      </c>
      <c r="B26" s="65"/>
      <c r="C26" s="65"/>
      <c r="D26" s="65"/>
      <c r="E26" s="65"/>
      <c r="F26" s="65"/>
    </row>
    <row r="27" spans="1:6">
      <c r="A27" s="28">
        <v>24</v>
      </c>
      <c r="B27" s="65"/>
      <c r="C27" s="65"/>
      <c r="D27" s="65"/>
      <c r="E27" s="65"/>
      <c r="F27" s="65"/>
    </row>
    <row r="28" spans="1:6">
      <c r="A28" s="28">
        <v>25</v>
      </c>
      <c r="B28" s="65"/>
      <c r="C28" s="65"/>
      <c r="D28" s="65"/>
      <c r="E28" s="65"/>
      <c r="F28" s="65"/>
    </row>
    <row r="29" spans="1:6">
      <c r="A29" s="28">
        <v>26</v>
      </c>
      <c r="B29" s="65"/>
      <c r="C29" s="65"/>
      <c r="D29" s="65"/>
      <c r="E29" s="65"/>
      <c r="F29" s="65"/>
    </row>
    <row r="30" spans="1:6">
      <c r="A30" s="28">
        <v>27</v>
      </c>
      <c r="B30" s="65"/>
      <c r="C30" s="65"/>
      <c r="D30" s="65"/>
      <c r="E30" s="65"/>
      <c r="F30" s="65"/>
    </row>
    <row r="31" spans="1:6">
      <c r="A31" s="28">
        <v>28</v>
      </c>
      <c r="B31" s="65"/>
      <c r="C31" s="65"/>
      <c r="D31" s="65"/>
      <c r="E31" s="65"/>
      <c r="F31" s="65"/>
    </row>
    <row r="32" spans="1:6">
      <c r="A32" s="28">
        <v>29</v>
      </c>
      <c r="B32" s="65"/>
      <c r="C32" s="65"/>
      <c r="D32" s="65"/>
      <c r="E32" s="65"/>
      <c r="F32" s="65"/>
    </row>
    <row r="33" spans="1:6">
      <c r="A33" s="28">
        <v>30</v>
      </c>
      <c r="B33" s="65"/>
      <c r="C33" s="65"/>
      <c r="D33" s="65"/>
      <c r="E33" s="65"/>
      <c r="F33" s="65"/>
    </row>
    <row r="34" spans="1:6">
      <c r="A34" s="28">
        <v>31</v>
      </c>
      <c r="B34" s="65"/>
      <c r="C34" s="65"/>
      <c r="D34" s="65"/>
      <c r="E34" s="65"/>
      <c r="F34" s="65"/>
    </row>
    <row r="35" spans="1:6">
      <c r="A35" s="28">
        <v>32</v>
      </c>
      <c r="B35" s="65"/>
      <c r="C35" s="65"/>
      <c r="D35" s="65"/>
      <c r="E35" s="65"/>
      <c r="F35" s="65"/>
    </row>
    <row r="36" spans="1:6">
      <c r="A36" s="28">
        <v>33</v>
      </c>
      <c r="B36" s="65"/>
      <c r="C36" s="65"/>
      <c r="D36" s="65"/>
      <c r="E36" s="65"/>
      <c r="F36" s="65"/>
    </row>
    <row r="37" spans="1:6">
      <c r="A37" s="28">
        <v>34</v>
      </c>
      <c r="B37" s="65"/>
      <c r="C37" s="65"/>
      <c r="D37" s="65"/>
      <c r="E37" s="65"/>
      <c r="F37" s="65"/>
    </row>
    <row r="38" spans="1:6">
      <c r="A38" s="28">
        <v>35</v>
      </c>
      <c r="B38" s="65"/>
      <c r="C38" s="65"/>
      <c r="D38" s="65"/>
      <c r="E38" s="65"/>
      <c r="F38" s="65"/>
    </row>
    <row r="39" spans="1:6">
      <c r="A39" s="28">
        <v>36</v>
      </c>
      <c r="B39" s="65"/>
      <c r="C39" s="65"/>
      <c r="D39" s="65"/>
      <c r="E39" s="65"/>
      <c r="F39" s="65"/>
    </row>
    <row r="40" spans="1:6">
      <c r="A40" s="28">
        <v>37</v>
      </c>
      <c r="B40" s="65"/>
      <c r="C40" s="65"/>
      <c r="D40" s="65"/>
      <c r="E40" s="65"/>
      <c r="F40" s="65"/>
    </row>
    <row r="41" spans="1:6">
      <c r="A41" s="28">
        <v>38</v>
      </c>
      <c r="B41" s="65"/>
      <c r="C41" s="65"/>
      <c r="D41" s="65"/>
      <c r="E41" s="65"/>
      <c r="F41" s="65"/>
    </row>
    <row r="42" spans="1:6">
      <c r="A42" s="28">
        <v>39</v>
      </c>
      <c r="B42" s="65"/>
      <c r="C42" s="65"/>
      <c r="D42" s="65"/>
      <c r="E42" s="65"/>
      <c r="F42" s="65"/>
    </row>
    <row r="43" spans="1:6">
      <c r="A43" s="28">
        <v>40</v>
      </c>
      <c r="B43" s="65"/>
      <c r="C43" s="65"/>
      <c r="D43" s="65"/>
      <c r="E43" s="65"/>
      <c r="F43" s="65"/>
    </row>
    <row r="44" spans="1:6">
      <c r="A44" s="28">
        <v>41</v>
      </c>
      <c r="B44" s="65"/>
      <c r="C44" s="65"/>
      <c r="D44" s="65"/>
      <c r="E44" s="65"/>
      <c r="F44" s="65"/>
    </row>
    <row r="45" spans="1:6">
      <c r="A45" s="28">
        <v>42</v>
      </c>
      <c r="B45" s="65"/>
      <c r="C45" s="65"/>
      <c r="D45" s="65"/>
      <c r="E45" s="65"/>
      <c r="F45" s="65"/>
    </row>
    <row r="46" spans="1:6">
      <c r="A46" s="28">
        <v>43</v>
      </c>
      <c r="B46" s="65"/>
      <c r="C46" s="65"/>
      <c r="D46" s="65"/>
      <c r="E46" s="65"/>
      <c r="F46" s="65"/>
    </row>
    <row r="47" spans="1:6">
      <c r="A47" s="28">
        <v>44</v>
      </c>
      <c r="B47" s="65"/>
      <c r="C47" s="65"/>
      <c r="D47" s="65"/>
      <c r="E47" s="65"/>
      <c r="F47" s="65"/>
    </row>
    <row r="48" spans="1:6">
      <c r="A48" s="28">
        <v>45</v>
      </c>
      <c r="B48" s="65"/>
      <c r="C48" s="65"/>
      <c r="D48" s="65"/>
      <c r="E48" s="65"/>
      <c r="F48" s="65"/>
    </row>
    <row r="49" spans="1:6">
      <c r="A49" s="28">
        <v>46</v>
      </c>
      <c r="B49" s="65"/>
      <c r="C49" s="65"/>
      <c r="D49" s="65"/>
      <c r="E49" s="65"/>
      <c r="F49" s="65"/>
    </row>
    <row r="50" spans="1:6">
      <c r="A50" s="28">
        <v>47</v>
      </c>
      <c r="B50" s="65"/>
      <c r="C50" s="65"/>
      <c r="D50" s="65"/>
      <c r="E50" s="65"/>
      <c r="F50" s="65"/>
    </row>
    <row r="51" spans="1:6">
      <c r="A51" s="28">
        <v>48</v>
      </c>
      <c r="B51" s="65"/>
      <c r="C51" s="65"/>
      <c r="D51" s="65"/>
      <c r="E51" s="65"/>
      <c r="F51" s="65"/>
    </row>
    <row r="52" spans="1:6">
      <c r="A52" s="28">
        <v>49</v>
      </c>
      <c r="B52" s="65"/>
      <c r="C52" s="65"/>
      <c r="D52" s="65"/>
      <c r="E52" s="65"/>
      <c r="F52" s="65"/>
    </row>
    <row r="53" spans="1:6">
      <c r="A53" s="28">
        <v>50</v>
      </c>
      <c r="B53" s="65"/>
      <c r="C53" s="65"/>
      <c r="D53" s="65"/>
      <c r="E53" s="65"/>
      <c r="F53" s="65"/>
    </row>
  </sheetData>
  <sheetProtection formatCells="0"/>
  <customSheetViews>
    <customSheetView guid="{6D9A68C5-8FD5-4F3E-8B6F-ABAD4F746D70}" scale="75" showRuler="0">
      <selection activeCell="E32" sqref="E32"/>
      <pageMargins left="0.7" right="0.7" top="0.75" bottom="0.75" header="0.3" footer="0.3"/>
      <pageSetup paperSize="9" orientation="portrait" horizontalDpi="200" verticalDpi="200"/>
    </customSheetView>
  </customSheetViews>
  <mergeCells count="1">
    <mergeCell ref="A2:F2"/>
  </mergeCells>
  <phoneticPr fontId="2" type="noConversion"/>
  <pageMargins left="0.75" right="0.75" top="1" bottom="1" header="0.5" footer="0.5"/>
  <pageSetup paperSize="9" orientation="portrait" horizontalDpi="200" verticalDpi="2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24"/>
    <outlinePr summaryBelow="0"/>
  </sheetPr>
  <dimension ref="A1:C25"/>
  <sheetViews>
    <sheetView showGridLines="0" zoomScale="138" workbookViewId="0">
      <selection activeCell="B28" sqref="B28"/>
    </sheetView>
  </sheetViews>
  <sheetFormatPr baseColWidth="10" defaultColWidth="8.83203125" defaultRowHeight="15" outlineLevelRow="1"/>
  <cols>
    <col min="1" max="1" width="20.6640625" bestFit="1" customWidth="1"/>
    <col min="2" max="2" width="21.5" customWidth="1"/>
    <col min="3" max="3" width="55" customWidth="1"/>
  </cols>
  <sheetData>
    <row r="1" spans="1:3">
      <c r="A1" s="19" t="s">
        <v>23</v>
      </c>
      <c r="B1" s="20"/>
      <c r="C1" s="21"/>
    </row>
    <row r="3" spans="1:3">
      <c r="A3" s="11" t="s">
        <v>18</v>
      </c>
      <c r="B3" s="11" t="s">
        <v>19</v>
      </c>
      <c r="C3" s="11" t="s">
        <v>20</v>
      </c>
    </row>
    <row r="4" spans="1:3">
      <c r="A4" s="22" t="s">
        <v>21</v>
      </c>
      <c r="B4" s="17" t="s">
        <v>146</v>
      </c>
      <c r="C4" s="23"/>
    </row>
    <row r="5" spans="1:3" outlineLevel="1">
      <c r="A5" s="22" t="s">
        <v>35</v>
      </c>
      <c r="B5" s="17" t="s">
        <v>50</v>
      </c>
      <c r="C5" s="23" t="s">
        <v>129</v>
      </c>
    </row>
    <row r="6" spans="1:3" outlineLevel="1">
      <c r="A6" s="22"/>
      <c r="B6" s="17"/>
      <c r="C6" s="23"/>
    </row>
    <row r="7" spans="1:3" outlineLevel="1">
      <c r="A7" s="22" t="s">
        <v>26</v>
      </c>
      <c r="B7" s="17" t="s">
        <v>51</v>
      </c>
      <c r="C7" s="23" t="s">
        <v>130</v>
      </c>
    </row>
    <row r="8" spans="1:3" outlineLevel="1">
      <c r="A8" s="24" t="s">
        <v>27</v>
      </c>
      <c r="B8" s="25" t="s">
        <v>52</v>
      </c>
      <c r="C8" s="26" t="s">
        <v>130</v>
      </c>
    </row>
    <row r="10" spans="1:3">
      <c r="A10" s="75" t="s">
        <v>127</v>
      </c>
    </row>
    <row r="11" spans="1:3" outlineLevel="1">
      <c r="A11" s="11" t="s">
        <v>18</v>
      </c>
      <c r="B11" s="11" t="s">
        <v>19</v>
      </c>
      <c r="C11" s="11" t="s">
        <v>20</v>
      </c>
    </row>
    <row r="12" spans="1:3" outlineLevel="1">
      <c r="A12" s="32" t="s">
        <v>28</v>
      </c>
      <c r="B12" s="33">
        <v>300</v>
      </c>
      <c r="C12" s="34"/>
    </row>
    <row r="13" spans="1:3" ht="32" outlineLevel="1">
      <c r="A13" s="35" t="s">
        <v>37</v>
      </c>
      <c r="B13" s="36" t="s">
        <v>42</v>
      </c>
      <c r="C13" s="40" t="s">
        <v>136</v>
      </c>
    </row>
    <row r="14" spans="1:3" outlineLevel="1">
      <c r="A14" s="38" t="s">
        <v>39</v>
      </c>
      <c r="B14" s="36" t="s">
        <v>182</v>
      </c>
      <c r="C14" s="37" t="s">
        <v>125</v>
      </c>
    </row>
    <row r="15" spans="1:3" outlineLevel="1">
      <c r="A15" s="38" t="s">
        <v>40</v>
      </c>
      <c r="B15" s="36" t="s">
        <v>183</v>
      </c>
      <c r="C15" s="37" t="s">
        <v>126</v>
      </c>
    </row>
    <row r="16" spans="1:3" ht="64" outlineLevel="1">
      <c r="A16" s="38" t="s">
        <v>41</v>
      </c>
      <c r="B16" s="36" t="s">
        <v>185</v>
      </c>
      <c r="C16" s="40" t="s">
        <v>49</v>
      </c>
    </row>
    <row r="17" spans="1:3" outlineLevel="1">
      <c r="A17" s="38" t="s">
        <v>44</v>
      </c>
      <c r="B17" s="36" t="s">
        <v>67</v>
      </c>
      <c r="C17" s="37" t="s">
        <v>45</v>
      </c>
    </row>
    <row r="18" spans="1:3" outlineLevel="1">
      <c r="A18" s="39"/>
      <c r="B18" s="58"/>
      <c r="C18" s="57"/>
    </row>
    <row r="20" spans="1:3">
      <c r="A20" s="75" t="s">
        <v>128</v>
      </c>
    </row>
    <row r="21" spans="1:3" outlineLevel="1">
      <c r="A21" s="11" t="s">
        <v>18</v>
      </c>
      <c r="B21" s="11" t="s">
        <v>19</v>
      </c>
      <c r="C21" s="11" t="s">
        <v>20</v>
      </c>
    </row>
    <row r="22" spans="1:3" ht="48" outlineLevel="1">
      <c r="A22" s="61" t="s">
        <v>55</v>
      </c>
      <c r="B22" s="60" t="s">
        <v>65</v>
      </c>
      <c r="C22" s="59" t="s">
        <v>60</v>
      </c>
    </row>
    <row r="23" spans="1:3" ht="32" outlineLevel="1">
      <c r="A23" s="38" t="s">
        <v>54</v>
      </c>
      <c r="B23" s="62">
        <v>45691</v>
      </c>
      <c r="C23" s="40" t="s">
        <v>61</v>
      </c>
    </row>
    <row r="24" spans="1:3" ht="48" outlineLevel="1">
      <c r="A24" s="35" t="s">
        <v>56</v>
      </c>
      <c r="B24" s="62" t="s">
        <v>65</v>
      </c>
      <c r="C24" s="40" t="s">
        <v>64</v>
      </c>
    </row>
    <row r="25" spans="1:3" ht="16" outlineLevel="1">
      <c r="A25" s="35" t="s">
        <v>58</v>
      </c>
      <c r="B25" s="63">
        <v>7</v>
      </c>
      <c r="C25" s="40" t="s">
        <v>57</v>
      </c>
    </row>
  </sheetData>
  <customSheetViews>
    <customSheetView guid="{6D9A68C5-8FD5-4F3E-8B6F-ABAD4F746D70}" scale="75" showRuler="0">
      <selection activeCell="C13" sqref="C13"/>
      <pageMargins left="0.7" right="0.7" top="0.75" bottom="0.75" header="0.3" footer="0.3"/>
    </customSheetView>
  </customSheetViews>
  <phoneticPr fontId="2" type="noConversion"/>
  <dataValidations count="5">
    <dataValidation type="whole" operator="greaterThan" allowBlank="1" showInputMessage="1" showErrorMessage="1" errorTitle="工作項目最大數" error="工作項目最大數_x000d_50&lt;設定值&lt;65500_x000d_項數過多整理速度會慢_x000d_建議100~200" sqref="B12" xr:uid="{00000000-0002-0000-0400-000000000000}">
      <formula1>50</formula1>
    </dataValidation>
    <dataValidation type="list" allowBlank="1" showInputMessage="1" showErrorMessage="1" sqref="B13" xr:uid="{00000000-0002-0000-0400-000001000000}">
      <formula1>"不重新計算,重新計算"</formula1>
    </dataValidation>
    <dataValidation type="list" allowBlank="1" showInputMessage="1" showErrorMessage="1" sqref="B16" xr:uid="{00000000-0002-0000-0400-000002000000}">
      <formula1>"有使用MS OUTLOOK(2000 or XP),沒有用MS OUTLOOK"</formula1>
    </dataValidation>
    <dataValidation type="list" allowBlank="1" showInputMessage="1" showErrorMessage="1" sqref="B22 B24" xr:uid="{00000000-0002-0000-0400-000003000000}">
      <formula1>"Yes,No"</formula1>
    </dataValidation>
    <dataValidation type="whole" allowBlank="1" showInputMessage="1" showErrorMessage="1" error="輸入數字 1~31" prompt="日別檢視時，由當日往回檢視的日數_x000d_例如：週會檢討時，以一週為單位，可以輸入10天_x000d_日別就會以當日減去10天為日別檢視的開始日" sqref="B25" xr:uid="{00000000-0002-0000-0400-000004000000}">
      <formula1>0</formula1>
      <formula2>31</formula2>
    </dataValidation>
  </dataValidations>
  <pageMargins left="0.75" right="0.75" top="1" bottom="1" header="0.5" footer="0.5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Readme</vt:lpstr>
      <vt:lpstr>Program</vt:lpstr>
      <vt:lpstr>Alert</vt:lpstr>
      <vt:lpstr>Contact</vt:lpstr>
      <vt:lpstr>Config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陳寬學</dc:creator>
  <cp:lastModifiedBy>k1 chen</cp:lastModifiedBy>
  <cp:lastPrinted>2007-01-31T17:02:21Z</cp:lastPrinted>
  <dcterms:created xsi:type="dcterms:W3CDTF">2004-10-31T16:56:18Z</dcterms:created>
  <dcterms:modified xsi:type="dcterms:W3CDTF">2025-02-17T00:39:35Z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2025-02-15T13:33:43Z</vt:lpwstr>
  </property>
  <property fmtid="{D5CDD505-2E9C-101B-9397-08002B2CF9AE}" pid="4" name="MSIP_Label_defa4170-0d19-0005-0004-bc88714345d2_Method">
    <vt:lpwstr>Privileged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f7491c75-4260-4368-ae26-8b900da2e99f</vt:lpwstr>
  </property>
  <property fmtid="{D5CDD505-2E9C-101B-9397-08002B2CF9AE}" pid="7" name="MSIP_Label_defa4170-0d19-0005-0004-bc88714345d2_ActionId">
    <vt:lpwstr>d04a8f64-3bb7-4d14-98f0-e1d7f65fd711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50, 0, 1, 1</vt:lpwstr>
  </property>
</Properties>
</file>
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rels" ContentType="application/vnd.openxmlformats-package.relationships+xml"/>
  <Default Extension="emf" ContentType="image/x-emf"/>
  <Default Extension="vml" ContentType="application/vnd.openxmlformats-officedocument.vmlDrawing"/>
  <Default Extension="bin" ContentType="application/vnd.ms-office.vbaProject"/>
  <Default Extension="png" ContentType="image/p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526" codeName="{00000000-0000-0000-0000-000000000000}"/>
  <workbookPr showInkAnnotation="0" codeName="ThisWorkbook" autoCompressPictures="0"/>
  <bookViews>
    <workbookView xWindow="0" yWindow="-440" windowWidth="27320" windowHeight="15360" activeTab="1"/>
  </bookViews>
  <sheets>
    <sheet name="Readme" sheetId="14" r:id="rId1"/>
    <sheet name="Program" sheetId="5" r:id="rId2"/>
    <sheet name="Alert" sheetId="12" r:id="rId3"/>
    <sheet name="Contact" sheetId="9" r:id="rId4"/>
    <sheet name="Config" sheetId="11" r:id="rId5"/>
  </sheets>
  <definedNames>
    <definedName name="_xlnm._FilterDatabase" localSheetId="1" hidden="1">Program!$I$7:$L$7</definedName>
    <definedName name="data1">Program!$B$7:$E$10</definedName>
    <definedName name="Z_6D9A68C5_8FD5_4F3E_8B6F_ABAD4F746D70_.wvu.Cols" localSheetId="1" hidden="1">Program!$DA:$EY</definedName>
    <definedName name="Z_6D9A68C5_8FD5_4F3E_8B6F_ABAD4F746D70_.wvu.FilterData" localSheetId="1" hidden="1">Program!$I$7:$L$7</definedName>
    <definedName name="Z_6D9A68C5_8FD5_4F3E_8B6F_ABAD4F746D70_.wvu.Rows" localSheetId="1" hidden="1">Program!$5:$5</definedName>
  </definedNames>
  <calcPr calcId="140001" concurrentCalc="0"/>
  <customWorkbookViews>
    <customWorkbookView name="DC01" guid="{6D9A68C5-8FD5-4F3E-8B6F-ABAD4F746D70}" maximized="1" windowWidth="1020" windowHeight="693" activeSheetId="5" showFormulaBar="0" showStatusbar="0"/>
  </customWorkbookView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5" i="5" l="1"/>
  <c r="N5" i="5"/>
  <c r="O5" i="5"/>
  <c r="P5" i="5"/>
  <c r="Q5" i="5"/>
  <c r="R5" i="5"/>
  <c r="S5" i="5"/>
  <c r="T5" i="5"/>
  <c r="U5" i="5"/>
  <c r="V5" i="5"/>
  <c r="W5" i="5"/>
  <c r="X5" i="5"/>
  <c r="Y5" i="5"/>
  <c r="Z5" i="5"/>
  <c r="AA5" i="5"/>
  <c r="AB5" i="5"/>
  <c r="AC5" i="5"/>
  <c r="AD5" i="5"/>
  <c r="AE5" i="5"/>
  <c r="AF5" i="5"/>
  <c r="AG5" i="5"/>
  <c r="AH5" i="5"/>
  <c r="AI5" i="5"/>
  <c r="AJ5" i="5"/>
  <c r="AK5" i="5"/>
  <c r="AL5" i="5"/>
  <c r="AM5" i="5"/>
  <c r="AN5" i="5"/>
  <c r="AO5" i="5"/>
  <c r="AP5" i="5"/>
  <c r="AQ5" i="5"/>
  <c r="AR5" i="5"/>
  <c r="AS5" i="5"/>
  <c r="AT5" i="5"/>
  <c r="AU5" i="5"/>
  <c r="AV5" i="5"/>
  <c r="AW5" i="5"/>
  <c r="AX5" i="5"/>
  <c r="AY5" i="5"/>
  <c r="AZ5" i="5"/>
  <c r="BA5" i="5"/>
  <c r="BB5" i="5"/>
  <c r="BC5" i="5"/>
  <c r="BD5" i="5"/>
  <c r="BE5" i="5"/>
  <c r="BF5" i="5"/>
  <c r="BG5" i="5"/>
  <c r="BH5" i="5"/>
  <c r="BI5" i="5"/>
  <c r="BJ5" i="5"/>
  <c r="BK5" i="5"/>
  <c r="BL5" i="5"/>
  <c r="BM5" i="5"/>
  <c r="BN5" i="5"/>
  <c r="BO5" i="5"/>
  <c r="BP5" i="5"/>
  <c r="BQ5" i="5"/>
  <c r="BR5" i="5"/>
  <c r="BS5" i="5"/>
  <c r="BT5" i="5"/>
  <c r="BU5" i="5"/>
  <c r="BV5" i="5"/>
  <c r="BW5" i="5"/>
  <c r="BX5" i="5"/>
  <c r="BY5" i="5"/>
  <c r="BZ5" i="5"/>
  <c r="CA5" i="5"/>
  <c r="CB5" i="5"/>
  <c r="CC5" i="5"/>
  <c r="CD5" i="5"/>
  <c r="CE5" i="5"/>
  <c r="CF5" i="5"/>
  <c r="CG5" i="5"/>
  <c r="CH5" i="5"/>
  <c r="CI5" i="5"/>
  <c r="CJ5" i="5"/>
  <c r="CK5" i="5"/>
  <c r="CL5" i="5"/>
  <c r="CM5" i="5"/>
  <c r="CN5" i="5"/>
  <c r="CO5" i="5"/>
  <c r="CP5" i="5"/>
  <c r="CQ5" i="5"/>
  <c r="CR5" i="5"/>
  <c r="CS5" i="5"/>
  <c r="CT5" i="5"/>
  <c r="CU5" i="5"/>
  <c r="CV5" i="5"/>
  <c r="CW5" i="5"/>
  <c r="CX5" i="5"/>
  <c r="CY5" i="5"/>
  <c r="CW7" i="5"/>
  <c r="CW4" i="5"/>
  <c r="CX7" i="5"/>
  <c r="CX4" i="5"/>
  <c r="CY7" i="5"/>
  <c r="CY4" i="5"/>
  <c r="CZ5" i="5"/>
  <c r="CZ7" i="5"/>
  <c r="CZ4" i="5"/>
  <c r="CW6" i="5"/>
  <c r="CX6" i="5"/>
  <c r="CY6" i="5"/>
  <c r="CZ6" i="5"/>
  <c r="CZ17" i="5"/>
  <c r="CY17" i="5"/>
  <c r="CZ16" i="5"/>
  <c r="CY16" i="5"/>
  <c r="CZ15" i="5"/>
  <c r="CY15" i="5"/>
  <c r="CZ14" i="5"/>
  <c r="CY14" i="5"/>
  <c r="CZ13" i="5"/>
  <c r="CY13" i="5"/>
  <c r="CZ12" i="5"/>
  <c r="CY12" i="5"/>
  <c r="CZ11" i="5"/>
  <c r="CY11" i="5"/>
  <c r="I1" i="5"/>
  <c r="E10" i="5"/>
  <c r="D10" i="5"/>
  <c r="CZ10" i="5"/>
  <c r="CY10" i="5"/>
  <c r="D9" i="5"/>
  <c r="E9" i="5"/>
  <c r="CZ9" i="5"/>
  <c r="CY9" i="5"/>
  <c r="DB5" i="5"/>
  <c r="DC5" i="5"/>
  <c r="DD5" i="5"/>
  <c r="DE5" i="5"/>
  <c r="DF5" i="5"/>
  <c r="DG5" i="5"/>
  <c r="DH5" i="5"/>
  <c r="DH7" i="5"/>
  <c r="DH10" i="5"/>
  <c r="CV7" i="5"/>
  <c r="CU7" i="5"/>
  <c r="CT7" i="5"/>
  <c r="CS7" i="5"/>
  <c r="CR7" i="5"/>
  <c r="CQ7" i="5"/>
  <c r="CP7" i="5"/>
  <c r="CO7" i="5"/>
  <c r="CN7" i="5"/>
  <c r="CM7" i="5"/>
  <c r="CL7" i="5"/>
  <c r="CK7" i="5"/>
  <c r="CJ7" i="5"/>
  <c r="CI7" i="5"/>
  <c r="CH7" i="5"/>
  <c r="CG7" i="5"/>
  <c r="CF7" i="5"/>
  <c r="CE7" i="5"/>
  <c r="CD7" i="5"/>
  <c r="CC7" i="5"/>
  <c r="CB7" i="5"/>
  <c r="CA7" i="5"/>
  <c r="BZ7" i="5"/>
  <c r="BY7" i="5"/>
  <c r="BX7" i="5"/>
  <c r="CV6" i="5"/>
  <c r="CU6" i="5"/>
  <c r="CT6" i="5"/>
  <c r="CS6" i="5"/>
  <c r="CR6" i="5"/>
  <c r="CQ6" i="5"/>
  <c r="CP6" i="5"/>
  <c r="CO6" i="5"/>
  <c r="CN6" i="5"/>
  <c r="CM6" i="5"/>
  <c r="CL6" i="5"/>
  <c r="CK6" i="5"/>
  <c r="CJ6" i="5"/>
  <c r="CI6" i="5"/>
  <c r="CH6" i="5"/>
  <c r="CG6" i="5"/>
  <c r="CF6" i="5"/>
  <c r="CE6" i="5"/>
  <c r="CD6" i="5"/>
  <c r="CC6" i="5"/>
  <c r="CB6" i="5"/>
  <c r="CA6" i="5"/>
  <c r="BZ6" i="5"/>
  <c r="BY6" i="5"/>
  <c r="BX6" i="5"/>
  <c r="CV4" i="5"/>
  <c r="CU4" i="5"/>
  <c r="CT4" i="5"/>
  <c r="CS4" i="5"/>
  <c r="CR4" i="5"/>
  <c r="CQ4" i="5"/>
  <c r="CP4" i="5"/>
  <c r="CO4" i="5"/>
  <c r="CN4" i="5"/>
  <c r="CM4" i="5"/>
  <c r="CL4" i="5"/>
  <c r="CK4" i="5"/>
  <c r="CJ4" i="5"/>
  <c r="CI4" i="5"/>
  <c r="CH4" i="5"/>
  <c r="CG4" i="5"/>
  <c r="CF4" i="5"/>
  <c r="CE4" i="5"/>
  <c r="CD4" i="5"/>
  <c r="CC4" i="5"/>
  <c r="CB4" i="5"/>
  <c r="CA4" i="5"/>
  <c r="BZ4" i="5"/>
  <c r="BY4" i="5"/>
  <c r="BX4" i="5"/>
  <c r="DH11" i="5"/>
  <c r="DI5" i="5"/>
  <c r="DJ5" i="5"/>
  <c r="DK5" i="5"/>
  <c r="DL5" i="5"/>
  <c r="DM5" i="5"/>
  <c r="DN5" i="5"/>
  <c r="DO5" i="5"/>
  <c r="DP5" i="5"/>
  <c r="DQ5" i="5"/>
  <c r="DR5" i="5"/>
  <c r="DS5" i="5"/>
  <c r="DT5" i="5"/>
  <c r="DU5" i="5"/>
  <c r="DV5" i="5"/>
  <c r="DW5" i="5"/>
  <c r="DX5" i="5"/>
  <c r="DY5" i="5"/>
  <c r="DZ5" i="5"/>
  <c r="EA5" i="5"/>
  <c r="EB5" i="5"/>
  <c r="EC5" i="5"/>
  <c r="ED5" i="5"/>
  <c r="EE5" i="5"/>
  <c r="EF5" i="5"/>
  <c r="EG5" i="5"/>
  <c r="EH5" i="5"/>
  <c r="EI5" i="5"/>
  <c r="EJ5" i="5"/>
  <c r="EK5" i="5"/>
  <c r="EL5" i="5"/>
  <c r="EM5" i="5"/>
  <c r="EN5" i="5"/>
  <c r="EO5" i="5"/>
  <c r="EP5" i="5"/>
  <c r="EQ5" i="5"/>
  <c r="ER5" i="5"/>
  <c r="ES5" i="5"/>
  <c r="ET5" i="5"/>
  <c r="EU5" i="5"/>
  <c r="EV5" i="5"/>
  <c r="EW5" i="5"/>
  <c r="EX5" i="5"/>
  <c r="EY5" i="5"/>
  <c r="EZ5" i="5"/>
  <c r="FA5" i="5"/>
  <c r="FB5" i="5"/>
  <c r="FC5" i="5"/>
  <c r="FD5" i="5"/>
  <c r="FE5" i="5"/>
  <c r="FF5" i="5"/>
  <c r="FG5" i="5"/>
  <c r="FH5" i="5"/>
  <c r="FI5" i="5"/>
  <c r="FJ5" i="5"/>
  <c r="FK5" i="5"/>
  <c r="FL5" i="5"/>
  <c r="FL7" i="5"/>
  <c r="FK7" i="5"/>
  <c r="FJ7" i="5"/>
  <c r="FI7" i="5"/>
  <c r="FH7" i="5"/>
  <c r="FG7" i="5"/>
  <c r="FF7" i="5"/>
  <c r="FE7" i="5"/>
  <c r="FD7" i="5"/>
  <c r="FC7" i="5"/>
  <c r="FB7" i="5"/>
  <c r="FA7" i="5"/>
  <c r="EZ7" i="5"/>
  <c r="EY7" i="5"/>
  <c r="EX7" i="5"/>
  <c r="EW7" i="5"/>
  <c r="EV7" i="5"/>
  <c r="EU7" i="5"/>
  <c r="ET7" i="5"/>
  <c r="ES7" i="5"/>
  <c r="ER7" i="5"/>
  <c r="EQ7" i="5"/>
  <c r="EP7" i="5"/>
  <c r="EO7" i="5"/>
  <c r="EN7" i="5"/>
  <c r="EM7" i="5"/>
  <c r="EL7" i="5"/>
  <c r="EK7" i="5"/>
  <c r="EJ7" i="5"/>
  <c r="EI7" i="5"/>
  <c r="EH7" i="5"/>
  <c r="EG7" i="5"/>
  <c r="EF7" i="5"/>
  <c r="EE7" i="5"/>
  <c r="ED7" i="5"/>
  <c r="EC7" i="5"/>
  <c r="EB7" i="5"/>
  <c r="EA7" i="5"/>
  <c r="DZ7" i="5"/>
  <c r="DY7" i="5"/>
  <c r="DX7" i="5"/>
  <c r="DW7" i="5"/>
  <c r="DV7" i="5"/>
  <c r="DU7" i="5"/>
  <c r="DT7" i="5"/>
  <c r="DS7" i="5"/>
  <c r="DR7" i="5"/>
  <c r="DQ7" i="5"/>
  <c r="DP7" i="5"/>
  <c r="DO7" i="5"/>
  <c r="DN7" i="5"/>
  <c r="DM7" i="5"/>
  <c r="DL7" i="5"/>
  <c r="DK7" i="5"/>
  <c r="DJ7" i="5"/>
  <c r="DI7" i="5"/>
  <c r="DG7" i="5"/>
  <c r="DF7" i="5"/>
  <c r="DE7" i="5"/>
  <c r="DD7" i="5"/>
  <c r="DC7" i="5"/>
  <c r="DB7" i="5"/>
  <c r="DA7" i="5"/>
  <c r="BW7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G7" i="5"/>
  <c r="BF7" i="5"/>
  <c r="BE7" i="5"/>
  <c r="BD7" i="5"/>
  <c r="BC7" i="5"/>
  <c r="BB7" i="5"/>
  <c r="BA7" i="5"/>
  <c r="AZ7" i="5"/>
  <c r="AY7" i="5"/>
  <c r="AX7" i="5"/>
  <c r="AW7" i="5"/>
  <c r="AV7" i="5"/>
  <c r="AU7" i="5"/>
  <c r="AT7" i="5"/>
  <c r="AS7" i="5"/>
  <c r="AR7" i="5"/>
  <c r="AQ7" i="5"/>
  <c r="AP7" i="5"/>
  <c r="AO7" i="5"/>
  <c r="AN7" i="5"/>
  <c r="AM7" i="5"/>
  <c r="AL7" i="5"/>
  <c r="AK7" i="5"/>
  <c r="AJ7" i="5"/>
  <c r="AI7" i="5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R7" i="5"/>
  <c r="Q7" i="5"/>
  <c r="P7" i="5"/>
  <c r="O7" i="5"/>
  <c r="N7" i="5"/>
  <c r="M7" i="5"/>
  <c r="M4" i="5"/>
  <c r="M6" i="5"/>
  <c r="N6" i="5"/>
  <c r="O6" i="5"/>
  <c r="P6" i="5"/>
  <c r="Q6" i="5"/>
  <c r="R6" i="5"/>
  <c r="S6" i="5"/>
  <c r="T6" i="5"/>
  <c r="U6" i="5"/>
  <c r="V6" i="5"/>
  <c r="W6" i="5"/>
  <c r="X6" i="5"/>
  <c r="Y6" i="5"/>
  <c r="Z6" i="5"/>
  <c r="AA6" i="5"/>
  <c r="AB6" i="5"/>
  <c r="AC6" i="5"/>
  <c r="AD6" i="5"/>
  <c r="AE6" i="5"/>
  <c r="AF6" i="5"/>
  <c r="AG6" i="5"/>
  <c r="AH6" i="5"/>
  <c r="AI6" i="5"/>
  <c r="AJ6" i="5"/>
  <c r="AK6" i="5"/>
  <c r="AL6" i="5"/>
  <c r="AM6" i="5"/>
  <c r="AN6" i="5"/>
  <c r="AO6" i="5"/>
  <c r="AP6" i="5"/>
  <c r="AQ6" i="5"/>
  <c r="AR6" i="5"/>
  <c r="AS6" i="5"/>
  <c r="AT6" i="5"/>
  <c r="AU6" i="5"/>
  <c r="AV6" i="5"/>
  <c r="AW6" i="5"/>
  <c r="AX6" i="5"/>
  <c r="AY6" i="5"/>
  <c r="AZ6" i="5"/>
  <c r="BA6" i="5"/>
  <c r="BB6" i="5"/>
  <c r="BC6" i="5"/>
  <c r="BD6" i="5"/>
  <c r="BE6" i="5"/>
  <c r="BF6" i="5"/>
  <c r="BG6" i="5"/>
  <c r="BH6" i="5"/>
  <c r="BI6" i="5"/>
  <c r="BJ6" i="5"/>
  <c r="BK6" i="5"/>
  <c r="BL6" i="5"/>
  <c r="BM6" i="5"/>
  <c r="BN6" i="5"/>
  <c r="BO6" i="5"/>
  <c r="BP6" i="5"/>
  <c r="BQ6" i="5"/>
  <c r="BR6" i="5"/>
  <c r="BS6" i="5"/>
  <c r="BT6" i="5"/>
  <c r="BU6" i="5"/>
  <c r="BV6" i="5"/>
  <c r="BW6" i="5"/>
  <c r="CX17" i="5"/>
  <c r="CW17" i="5"/>
  <c r="CV17" i="5"/>
  <c r="CU17" i="5"/>
  <c r="CT17" i="5"/>
  <c r="CS17" i="5"/>
  <c r="CR17" i="5"/>
  <c r="CQ17" i="5"/>
  <c r="CP17" i="5"/>
  <c r="CO17" i="5"/>
  <c r="CN17" i="5"/>
  <c r="CM17" i="5"/>
  <c r="CL17" i="5"/>
  <c r="CK17" i="5"/>
  <c r="CJ17" i="5"/>
  <c r="CI17" i="5"/>
  <c r="CH17" i="5"/>
  <c r="CG17" i="5"/>
  <c r="CF17" i="5"/>
  <c r="CE17" i="5"/>
  <c r="CD17" i="5"/>
  <c r="CC17" i="5"/>
  <c r="CB17" i="5"/>
  <c r="CA17" i="5"/>
  <c r="BZ17" i="5"/>
  <c r="BY17" i="5"/>
  <c r="BX17" i="5"/>
  <c r="BW17" i="5"/>
  <c r="BV17" i="5"/>
  <c r="BU17" i="5"/>
  <c r="BT17" i="5"/>
  <c r="BS17" i="5"/>
  <c r="BR17" i="5"/>
  <c r="BQ17" i="5"/>
  <c r="BP17" i="5"/>
  <c r="BO17" i="5"/>
  <c r="BN17" i="5"/>
  <c r="BM17" i="5"/>
  <c r="BL17" i="5"/>
  <c r="BK17" i="5"/>
  <c r="BJ17" i="5"/>
  <c r="BI17" i="5"/>
  <c r="BH17" i="5"/>
  <c r="BG17" i="5"/>
  <c r="BF17" i="5"/>
  <c r="BE17" i="5"/>
  <c r="BD17" i="5"/>
  <c r="BC17" i="5"/>
  <c r="BB17" i="5"/>
  <c r="BA17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N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CX16" i="5"/>
  <c r="CW16" i="5"/>
  <c r="CV16" i="5"/>
  <c r="CU16" i="5"/>
  <c r="CT16" i="5"/>
  <c r="CS16" i="5"/>
  <c r="CR16" i="5"/>
  <c r="CQ16" i="5"/>
  <c r="CP16" i="5"/>
  <c r="CO16" i="5"/>
  <c r="CN16" i="5"/>
  <c r="CM16" i="5"/>
  <c r="CL16" i="5"/>
  <c r="CK16" i="5"/>
  <c r="CJ16" i="5"/>
  <c r="CI16" i="5"/>
  <c r="CH16" i="5"/>
  <c r="CG16" i="5"/>
  <c r="CF16" i="5"/>
  <c r="CE16" i="5"/>
  <c r="CD16" i="5"/>
  <c r="CC16" i="5"/>
  <c r="CB16" i="5"/>
  <c r="CA16" i="5"/>
  <c r="BZ16" i="5"/>
  <c r="BY16" i="5"/>
  <c r="BX16" i="5"/>
  <c r="BW16" i="5"/>
  <c r="BV16" i="5"/>
  <c r="BU16" i="5"/>
  <c r="BT16" i="5"/>
  <c r="BS16" i="5"/>
  <c r="BR16" i="5"/>
  <c r="BQ16" i="5"/>
  <c r="BP16" i="5"/>
  <c r="BO16" i="5"/>
  <c r="BN16" i="5"/>
  <c r="BM16" i="5"/>
  <c r="BL16" i="5"/>
  <c r="BK16" i="5"/>
  <c r="BJ16" i="5"/>
  <c r="BI16" i="5"/>
  <c r="BH16" i="5"/>
  <c r="BG16" i="5"/>
  <c r="BF16" i="5"/>
  <c r="BE16" i="5"/>
  <c r="BD16" i="5"/>
  <c r="BC16" i="5"/>
  <c r="BB16" i="5"/>
  <c r="BA16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N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CX15" i="5"/>
  <c r="CW15" i="5"/>
  <c r="CV15" i="5"/>
  <c r="CU15" i="5"/>
  <c r="CT15" i="5"/>
  <c r="CS15" i="5"/>
  <c r="CR15" i="5"/>
  <c r="CQ15" i="5"/>
  <c r="CP15" i="5"/>
  <c r="CO15" i="5"/>
  <c r="CN15" i="5"/>
  <c r="CM15" i="5"/>
  <c r="CL15" i="5"/>
  <c r="CK15" i="5"/>
  <c r="CJ15" i="5"/>
  <c r="CI15" i="5"/>
  <c r="CH15" i="5"/>
  <c r="CG15" i="5"/>
  <c r="CF15" i="5"/>
  <c r="CE15" i="5"/>
  <c r="CD15" i="5"/>
  <c r="CC15" i="5"/>
  <c r="CB15" i="5"/>
  <c r="CA15" i="5"/>
  <c r="BZ15" i="5"/>
  <c r="BY15" i="5"/>
  <c r="BX15" i="5"/>
  <c r="BW15" i="5"/>
  <c r="BV15" i="5"/>
  <c r="BU15" i="5"/>
  <c r="BT15" i="5"/>
  <c r="BS15" i="5"/>
  <c r="BR15" i="5"/>
  <c r="BQ15" i="5"/>
  <c r="BP15" i="5"/>
  <c r="BO15" i="5"/>
  <c r="BN15" i="5"/>
  <c r="BM15" i="5"/>
  <c r="BL15" i="5"/>
  <c r="BK15" i="5"/>
  <c r="BJ15" i="5"/>
  <c r="BI15" i="5"/>
  <c r="BH15" i="5"/>
  <c r="BG15" i="5"/>
  <c r="BF15" i="5"/>
  <c r="BE15" i="5"/>
  <c r="BD15" i="5"/>
  <c r="BC15" i="5"/>
  <c r="BB15" i="5"/>
  <c r="BA15" i="5"/>
  <c r="AZ15" i="5"/>
  <c r="AY15" i="5"/>
  <c r="AX15" i="5"/>
  <c r="AW15" i="5"/>
  <c r="AV15" i="5"/>
  <c r="AU15" i="5"/>
  <c r="AT15" i="5"/>
  <c r="AS15" i="5"/>
  <c r="AR15" i="5"/>
  <c r="AQ15" i="5"/>
  <c r="AP15" i="5"/>
  <c r="AO15" i="5"/>
  <c r="AN15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CX14" i="5"/>
  <c r="CW14" i="5"/>
  <c r="CV14" i="5"/>
  <c r="CU14" i="5"/>
  <c r="CT14" i="5"/>
  <c r="CS14" i="5"/>
  <c r="CR14" i="5"/>
  <c r="CQ14" i="5"/>
  <c r="CP14" i="5"/>
  <c r="CO14" i="5"/>
  <c r="CN14" i="5"/>
  <c r="CM14" i="5"/>
  <c r="CL14" i="5"/>
  <c r="CK14" i="5"/>
  <c r="CJ14" i="5"/>
  <c r="CI14" i="5"/>
  <c r="CH14" i="5"/>
  <c r="CG14" i="5"/>
  <c r="CF14" i="5"/>
  <c r="CE14" i="5"/>
  <c r="CD14" i="5"/>
  <c r="CC14" i="5"/>
  <c r="CB14" i="5"/>
  <c r="CA14" i="5"/>
  <c r="BZ14" i="5"/>
  <c r="BY14" i="5"/>
  <c r="BX14" i="5"/>
  <c r="BW14" i="5"/>
  <c r="BV14" i="5"/>
  <c r="BU14" i="5"/>
  <c r="BT14" i="5"/>
  <c r="BS14" i="5"/>
  <c r="BR14" i="5"/>
  <c r="BQ14" i="5"/>
  <c r="BP14" i="5"/>
  <c r="BO14" i="5"/>
  <c r="BN14" i="5"/>
  <c r="BM14" i="5"/>
  <c r="BL14" i="5"/>
  <c r="BK14" i="5"/>
  <c r="BJ14" i="5"/>
  <c r="BI14" i="5"/>
  <c r="BH14" i="5"/>
  <c r="BG14" i="5"/>
  <c r="BF14" i="5"/>
  <c r="BE14" i="5"/>
  <c r="BD14" i="5"/>
  <c r="BC14" i="5"/>
  <c r="BB14" i="5"/>
  <c r="BA14" i="5"/>
  <c r="AZ14" i="5"/>
  <c r="AY14" i="5"/>
  <c r="AX14" i="5"/>
  <c r="AW14" i="5"/>
  <c r="AV14" i="5"/>
  <c r="AU14" i="5"/>
  <c r="AT14" i="5"/>
  <c r="AS14" i="5"/>
  <c r="AR14" i="5"/>
  <c r="AQ14" i="5"/>
  <c r="AP14" i="5"/>
  <c r="AO14" i="5"/>
  <c r="AN14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A14" i="5"/>
  <c r="Z14" i="5"/>
  <c r="Y14" i="5"/>
  <c r="X14" i="5"/>
  <c r="W14" i="5"/>
  <c r="V14" i="5"/>
  <c r="U14" i="5"/>
  <c r="T14" i="5"/>
  <c r="S14" i="5"/>
  <c r="R14" i="5"/>
  <c r="Q14" i="5"/>
  <c r="P14" i="5"/>
  <c r="O14" i="5"/>
  <c r="N14" i="5"/>
  <c r="M14" i="5"/>
  <c r="CX13" i="5"/>
  <c r="CW13" i="5"/>
  <c r="CV13" i="5"/>
  <c r="CU13" i="5"/>
  <c r="CT13" i="5"/>
  <c r="CS13" i="5"/>
  <c r="CR13" i="5"/>
  <c r="CQ13" i="5"/>
  <c r="CP13" i="5"/>
  <c r="CO13" i="5"/>
  <c r="CN13" i="5"/>
  <c r="CM13" i="5"/>
  <c r="CL13" i="5"/>
  <c r="CK13" i="5"/>
  <c r="CJ13" i="5"/>
  <c r="CI13" i="5"/>
  <c r="CH13" i="5"/>
  <c r="CG13" i="5"/>
  <c r="CF13" i="5"/>
  <c r="CE13" i="5"/>
  <c r="CD13" i="5"/>
  <c r="CC13" i="5"/>
  <c r="CB13" i="5"/>
  <c r="CA13" i="5"/>
  <c r="BZ13" i="5"/>
  <c r="BY13" i="5"/>
  <c r="BX13" i="5"/>
  <c r="BW13" i="5"/>
  <c r="BV13" i="5"/>
  <c r="BU13" i="5"/>
  <c r="BT13" i="5"/>
  <c r="BS13" i="5"/>
  <c r="BR13" i="5"/>
  <c r="BQ13" i="5"/>
  <c r="BP13" i="5"/>
  <c r="BO13" i="5"/>
  <c r="BN13" i="5"/>
  <c r="BM13" i="5"/>
  <c r="BL13" i="5"/>
  <c r="BK13" i="5"/>
  <c r="BJ13" i="5"/>
  <c r="BI13" i="5"/>
  <c r="BH13" i="5"/>
  <c r="BG13" i="5"/>
  <c r="BF13" i="5"/>
  <c r="BE13" i="5"/>
  <c r="BD13" i="5"/>
  <c r="BC13" i="5"/>
  <c r="BB13" i="5"/>
  <c r="BA13" i="5"/>
  <c r="AZ13" i="5"/>
  <c r="AY13" i="5"/>
  <c r="AX13" i="5"/>
  <c r="AW13" i="5"/>
  <c r="AV13" i="5"/>
  <c r="AU13" i="5"/>
  <c r="AT13" i="5"/>
  <c r="AS13" i="5"/>
  <c r="AR13" i="5"/>
  <c r="AQ13" i="5"/>
  <c r="AP13" i="5"/>
  <c r="AO13" i="5"/>
  <c r="AN13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A13" i="5"/>
  <c r="Z13" i="5"/>
  <c r="Y13" i="5"/>
  <c r="X13" i="5"/>
  <c r="W13" i="5"/>
  <c r="V13" i="5"/>
  <c r="U13" i="5"/>
  <c r="T13" i="5"/>
  <c r="S13" i="5"/>
  <c r="R13" i="5"/>
  <c r="Q13" i="5"/>
  <c r="P13" i="5"/>
  <c r="O13" i="5"/>
  <c r="N13" i="5"/>
  <c r="M13" i="5"/>
  <c r="CX12" i="5"/>
  <c r="CW12" i="5"/>
  <c r="CV12" i="5"/>
  <c r="CU12" i="5"/>
  <c r="CT12" i="5"/>
  <c r="CS12" i="5"/>
  <c r="CR12" i="5"/>
  <c r="CQ12" i="5"/>
  <c r="CP12" i="5"/>
  <c r="CO12" i="5"/>
  <c r="CN12" i="5"/>
  <c r="CM12" i="5"/>
  <c r="CL12" i="5"/>
  <c r="CK12" i="5"/>
  <c r="CJ12" i="5"/>
  <c r="CI12" i="5"/>
  <c r="CH12" i="5"/>
  <c r="CG12" i="5"/>
  <c r="CF12" i="5"/>
  <c r="CE12" i="5"/>
  <c r="CD12" i="5"/>
  <c r="CC12" i="5"/>
  <c r="CB12" i="5"/>
  <c r="CA12" i="5"/>
  <c r="BZ12" i="5"/>
  <c r="BY12" i="5"/>
  <c r="BX12" i="5"/>
  <c r="BW12" i="5"/>
  <c r="BV12" i="5"/>
  <c r="BU12" i="5"/>
  <c r="BT12" i="5"/>
  <c r="BS12" i="5"/>
  <c r="BR12" i="5"/>
  <c r="BQ12" i="5"/>
  <c r="BP12" i="5"/>
  <c r="BO12" i="5"/>
  <c r="BN12" i="5"/>
  <c r="BM12" i="5"/>
  <c r="BL12" i="5"/>
  <c r="BK12" i="5"/>
  <c r="BJ12" i="5"/>
  <c r="BI12" i="5"/>
  <c r="BH12" i="5"/>
  <c r="BG12" i="5"/>
  <c r="BF12" i="5"/>
  <c r="BE12" i="5"/>
  <c r="BD12" i="5"/>
  <c r="BC12" i="5"/>
  <c r="BB12" i="5"/>
  <c r="BA12" i="5"/>
  <c r="AZ12" i="5"/>
  <c r="AY12" i="5"/>
  <c r="AX12" i="5"/>
  <c r="AW12" i="5"/>
  <c r="AV12" i="5"/>
  <c r="AU12" i="5"/>
  <c r="AT12" i="5"/>
  <c r="AS12" i="5"/>
  <c r="AR12" i="5"/>
  <c r="AQ12" i="5"/>
  <c r="AP12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CX11" i="5"/>
  <c r="CW11" i="5"/>
  <c r="CV11" i="5"/>
  <c r="CU11" i="5"/>
  <c r="CT11" i="5"/>
  <c r="CS11" i="5"/>
  <c r="CR11" i="5"/>
  <c r="CQ11" i="5"/>
  <c r="CP11" i="5"/>
  <c r="CO11" i="5"/>
  <c r="CN11" i="5"/>
  <c r="CM11" i="5"/>
  <c r="CL11" i="5"/>
  <c r="CK11" i="5"/>
  <c r="CJ11" i="5"/>
  <c r="CI11" i="5"/>
  <c r="CH11" i="5"/>
  <c r="CG11" i="5"/>
  <c r="CF11" i="5"/>
  <c r="CE11" i="5"/>
  <c r="CD11" i="5"/>
  <c r="CC11" i="5"/>
  <c r="CB11" i="5"/>
  <c r="CA11" i="5"/>
  <c r="BZ11" i="5"/>
  <c r="BY11" i="5"/>
  <c r="BX11" i="5"/>
  <c r="BW11" i="5"/>
  <c r="BV11" i="5"/>
  <c r="BU11" i="5"/>
  <c r="BT11" i="5"/>
  <c r="BS11" i="5"/>
  <c r="BR11" i="5"/>
  <c r="BQ11" i="5"/>
  <c r="BP11" i="5"/>
  <c r="BO11" i="5"/>
  <c r="BN11" i="5"/>
  <c r="BM11" i="5"/>
  <c r="BL11" i="5"/>
  <c r="BK11" i="5"/>
  <c r="BJ11" i="5"/>
  <c r="BI11" i="5"/>
  <c r="BH11" i="5"/>
  <c r="BG11" i="5"/>
  <c r="BF11" i="5"/>
  <c r="BE11" i="5"/>
  <c r="BD11" i="5"/>
  <c r="BC11" i="5"/>
  <c r="BB11" i="5"/>
  <c r="BA11" i="5"/>
  <c r="AZ11" i="5"/>
  <c r="AY11" i="5"/>
  <c r="AX11" i="5"/>
  <c r="AW11" i="5"/>
  <c r="AV11" i="5"/>
  <c r="AU11" i="5"/>
  <c r="AT11" i="5"/>
  <c r="AS11" i="5"/>
  <c r="AR11" i="5"/>
  <c r="AQ11" i="5"/>
  <c r="AP11" i="5"/>
  <c r="AO11" i="5"/>
  <c r="AN11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A11" i="5"/>
  <c r="Z11" i="5"/>
  <c r="Y11" i="5"/>
  <c r="X11" i="5"/>
  <c r="W11" i="5"/>
  <c r="V11" i="5"/>
  <c r="U11" i="5"/>
  <c r="T11" i="5"/>
  <c r="S11" i="5"/>
  <c r="R11" i="5"/>
  <c r="Q11" i="5"/>
  <c r="P11" i="5"/>
  <c r="O11" i="5"/>
  <c r="N11" i="5"/>
  <c r="M11" i="5"/>
  <c r="CX10" i="5"/>
  <c r="CW10" i="5"/>
  <c r="CV10" i="5"/>
  <c r="CU10" i="5"/>
  <c r="CT10" i="5"/>
  <c r="CS10" i="5"/>
  <c r="CR10" i="5"/>
  <c r="CQ10" i="5"/>
  <c r="CP10" i="5"/>
  <c r="CO10" i="5"/>
  <c r="CN10" i="5"/>
  <c r="CM10" i="5"/>
  <c r="CL10" i="5"/>
  <c r="CK10" i="5"/>
  <c r="CJ10" i="5"/>
  <c r="CI10" i="5"/>
  <c r="CH10" i="5"/>
  <c r="CG10" i="5"/>
  <c r="CF10" i="5"/>
  <c r="CE10" i="5"/>
  <c r="CD10" i="5"/>
  <c r="CC10" i="5"/>
  <c r="CB10" i="5"/>
  <c r="CA10" i="5"/>
  <c r="BZ10" i="5"/>
  <c r="BY10" i="5"/>
  <c r="BX10" i="5"/>
  <c r="BW10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J10" i="5"/>
  <c r="BI10" i="5"/>
  <c r="BH10" i="5"/>
  <c r="BG10" i="5"/>
  <c r="BF10" i="5"/>
  <c r="BE10" i="5"/>
  <c r="BD10" i="5"/>
  <c r="BC10" i="5"/>
  <c r="BB10" i="5"/>
  <c r="BA10" i="5"/>
  <c r="AZ10" i="5"/>
  <c r="AY10" i="5"/>
  <c r="AX10" i="5"/>
  <c r="AW10" i="5"/>
  <c r="AV10" i="5"/>
  <c r="AU10" i="5"/>
  <c r="AT10" i="5"/>
  <c r="AS10" i="5"/>
  <c r="AR10" i="5"/>
  <c r="AQ10" i="5"/>
  <c r="AP10" i="5"/>
  <c r="AO10" i="5"/>
  <c r="AN10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CX9" i="5"/>
  <c r="CW9" i="5"/>
  <c r="CV9" i="5"/>
  <c r="CU9" i="5"/>
  <c r="CT9" i="5"/>
  <c r="CS9" i="5"/>
  <c r="CR9" i="5"/>
  <c r="CQ9" i="5"/>
  <c r="CP9" i="5"/>
  <c r="CO9" i="5"/>
  <c r="CN9" i="5"/>
  <c r="CM9" i="5"/>
  <c r="CL9" i="5"/>
  <c r="CK9" i="5"/>
  <c r="CJ9" i="5"/>
  <c r="CI9" i="5"/>
  <c r="CH9" i="5"/>
  <c r="CG9" i="5"/>
  <c r="CF9" i="5"/>
  <c r="CE9" i="5"/>
  <c r="CD9" i="5"/>
  <c r="CC9" i="5"/>
  <c r="CB9" i="5"/>
  <c r="CA9" i="5"/>
  <c r="BZ9" i="5"/>
  <c r="BY9" i="5"/>
  <c r="BX9" i="5"/>
  <c r="BW9" i="5"/>
  <c r="BV9" i="5"/>
  <c r="BU9" i="5"/>
  <c r="BT9" i="5"/>
  <c r="BS9" i="5"/>
  <c r="BR9" i="5"/>
  <c r="BQ9" i="5"/>
  <c r="BP9" i="5"/>
  <c r="BO9" i="5"/>
  <c r="BN9" i="5"/>
  <c r="BM9" i="5"/>
  <c r="BL9" i="5"/>
  <c r="BK9" i="5"/>
  <c r="BJ9" i="5"/>
  <c r="BI9" i="5"/>
  <c r="BH9" i="5"/>
  <c r="BG9" i="5"/>
  <c r="BF9" i="5"/>
  <c r="BE9" i="5"/>
  <c r="BD9" i="5"/>
  <c r="BC9" i="5"/>
  <c r="BB9" i="5"/>
  <c r="BA9" i="5"/>
  <c r="AZ9" i="5"/>
  <c r="AY9" i="5"/>
  <c r="AX9" i="5"/>
  <c r="AW9" i="5"/>
  <c r="AV9" i="5"/>
  <c r="AU9" i="5"/>
  <c r="AT9" i="5"/>
  <c r="AS9" i="5"/>
  <c r="AR9" i="5"/>
  <c r="AQ9" i="5"/>
  <c r="AP9" i="5"/>
  <c r="AO9" i="5"/>
  <c r="AN9" i="5"/>
  <c r="AM9" i="5"/>
  <c r="AL9" i="5"/>
  <c r="AK9" i="5"/>
  <c r="AJ9" i="5"/>
  <c r="AI9" i="5"/>
  <c r="AH9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M9" i="5"/>
  <c r="N9" i="5"/>
  <c r="FL17" i="5"/>
  <c r="FK17" i="5"/>
  <c r="FJ17" i="5"/>
  <c r="FI17" i="5"/>
  <c r="FH17" i="5"/>
  <c r="FG17" i="5"/>
  <c r="FF17" i="5"/>
  <c r="FE17" i="5"/>
  <c r="FD17" i="5"/>
  <c r="FC17" i="5"/>
  <c r="FB17" i="5"/>
  <c r="FA17" i="5"/>
  <c r="EZ17" i="5"/>
  <c r="EY17" i="5"/>
  <c r="EX17" i="5"/>
  <c r="EW17" i="5"/>
  <c r="EV17" i="5"/>
  <c r="EU17" i="5"/>
  <c r="ET17" i="5"/>
  <c r="ES17" i="5"/>
  <c r="ER17" i="5"/>
  <c r="EQ17" i="5"/>
  <c r="EP17" i="5"/>
  <c r="EO17" i="5"/>
  <c r="EN17" i="5"/>
  <c r="EM17" i="5"/>
  <c r="EL17" i="5"/>
  <c r="EK17" i="5"/>
  <c r="EJ17" i="5"/>
  <c r="EI17" i="5"/>
  <c r="EH17" i="5"/>
  <c r="EG17" i="5"/>
  <c r="EF17" i="5"/>
  <c r="EE17" i="5"/>
  <c r="ED17" i="5"/>
  <c r="EC17" i="5"/>
  <c r="EB17" i="5"/>
  <c r="EA17" i="5"/>
  <c r="DZ17" i="5"/>
  <c r="DY17" i="5"/>
  <c r="DX17" i="5"/>
  <c r="DW17" i="5"/>
  <c r="DV17" i="5"/>
  <c r="DU17" i="5"/>
  <c r="DT17" i="5"/>
  <c r="DS17" i="5"/>
  <c r="DR17" i="5"/>
  <c r="DQ17" i="5"/>
  <c r="DP17" i="5"/>
  <c r="DO17" i="5"/>
  <c r="DN17" i="5"/>
  <c r="DM17" i="5"/>
  <c r="DL17" i="5"/>
  <c r="DK17" i="5"/>
  <c r="DJ17" i="5"/>
  <c r="DI17" i="5"/>
  <c r="DH17" i="5"/>
  <c r="DG17" i="5"/>
  <c r="DF17" i="5"/>
  <c r="DE17" i="5"/>
  <c r="DD17" i="5"/>
  <c r="DC17" i="5"/>
  <c r="DB17" i="5"/>
  <c r="DA17" i="5"/>
  <c r="FL16" i="5"/>
  <c r="FK16" i="5"/>
  <c r="FJ16" i="5"/>
  <c r="FI16" i="5"/>
  <c r="FH16" i="5"/>
  <c r="FG16" i="5"/>
  <c r="FF16" i="5"/>
  <c r="FE16" i="5"/>
  <c r="FD16" i="5"/>
  <c r="FC16" i="5"/>
  <c r="FB16" i="5"/>
  <c r="FA16" i="5"/>
  <c r="EZ16" i="5"/>
  <c r="EY16" i="5"/>
  <c r="EX16" i="5"/>
  <c r="EW16" i="5"/>
  <c r="EV16" i="5"/>
  <c r="EU16" i="5"/>
  <c r="ET16" i="5"/>
  <c r="ES16" i="5"/>
  <c r="ER16" i="5"/>
  <c r="EQ16" i="5"/>
  <c r="EP16" i="5"/>
  <c r="EO16" i="5"/>
  <c r="EN16" i="5"/>
  <c r="EM16" i="5"/>
  <c r="EL16" i="5"/>
  <c r="EK16" i="5"/>
  <c r="EJ16" i="5"/>
  <c r="EI16" i="5"/>
  <c r="EH16" i="5"/>
  <c r="EG16" i="5"/>
  <c r="EF16" i="5"/>
  <c r="EE16" i="5"/>
  <c r="ED16" i="5"/>
  <c r="EC16" i="5"/>
  <c r="EB16" i="5"/>
  <c r="EA16" i="5"/>
  <c r="DZ16" i="5"/>
  <c r="DY16" i="5"/>
  <c r="DX16" i="5"/>
  <c r="DW16" i="5"/>
  <c r="DV16" i="5"/>
  <c r="DU16" i="5"/>
  <c r="DT16" i="5"/>
  <c r="DS16" i="5"/>
  <c r="DR16" i="5"/>
  <c r="DQ16" i="5"/>
  <c r="DP16" i="5"/>
  <c r="DO16" i="5"/>
  <c r="DN16" i="5"/>
  <c r="DM16" i="5"/>
  <c r="DL16" i="5"/>
  <c r="DK16" i="5"/>
  <c r="DJ16" i="5"/>
  <c r="DI16" i="5"/>
  <c r="DH16" i="5"/>
  <c r="DG16" i="5"/>
  <c r="DF16" i="5"/>
  <c r="DE16" i="5"/>
  <c r="DD16" i="5"/>
  <c r="DB16" i="5"/>
  <c r="DA16" i="5"/>
  <c r="DC16" i="5"/>
  <c r="FL15" i="5"/>
  <c r="FK15" i="5"/>
  <c r="FJ15" i="5"/>
  <c r="FI15" i="5"/>
  <c r="FH15" i="5"/>
  <c r="FG15" i="5"/>
  <c r="FF15" i="5"/>
  <c r="FE15" i="5"/>
  <c r="FD15" i="5"/>
  <c r="FC15" i="5"/>
  <c r="FB15" i="5"/>
  <c r="FA15" i="5"/>
  <c r="EZ15" i="5"/>
  <c r="EY15" i="5"/>
  <c r="EX15" i="5"/>
  <c r="EW15" i="5"/>
  <c r="EV15" i="5"/>
  <c r="EU15" i="5"/>
  <c r="ET15" i="5"/>
  <c r="ES15" i="5"/>
  <c r="ER15" i="5"/>
  <c r="EQ15" i="5"/>
  <c r="EP15" i="5"/>
  <c r="EO15" i="5"/>
  <c r="EN15" i="5"/>
  <c r="EM15" i="5"/>
  <c r="EL15" i="5"/>
  <c r="EK15" i="5"/>
  <c r="EJ15" i="5"/>
  <c r="EI15" i="5"/>
  <c r="EH15" i="5"/>
  <c r="EG15" i="5"/>
  <c r="EF15" i="5"/>
  <c r="EE15" i="5"/>
  <c r="ED15" i="5"/>
  <c r="EC15" i="5"/>
  <c r="EB15" i="5"/>
  <c r="EA15" i="5"/>
  <c r="DZ15" i="5"/>
  <c r="DY15" i="5"/>
  <c r="DX15" i="5"/>
  <c r="DW15" i="5"/>
  <c r="DV15" i="5"/>
  <c r="DU15" i="5"/>
  <c r="DT15" i="5"/>
  <c r="DS15" i="5"/>
  <c r="DR15" i="5"/>
  <c r="DQ15" i="5"/>
  <c r="DP15" i="5"/>
  <c r="DO15" i="5"/>
  <c r="DN15" i="5"/>
  <c r="DM15" i="5"/>
  <c r="DL15" i="5"/>
  <c r="DK15" i="5"/>
  <c r="DJ15" i="5"/>
  <c r="DI15" i="5"/>
  <c r="DH15" i="5"/>
  <c r="DG15" i="5"/>
  <c r="DF15" i="5"/>
  <c r="DE15" i="5"/>
  <c r="DD15" i="5"/>
  <c r="DC15" i="5"/>
  <c r="DB15" i="5"/>
  <c r="DA15" i="5"/>
  <c r="FL14" i="5"/>
  <c r="FK14" i="5"/>
  <c r="FJ14" i="5"/>
  <c r="FI14" i="5"/>
  <c r="FH14" i="5"/>
  <c r="FG14" i="5"/>
  <c r="FF14" i="5"/>
  <c r="FE14" i="5"/>
  <c r="FD14" i="5"/>
  <c r="FC14" i="5"/>
  <c r="FB14" i="5"/>
  <c r="FA14" i="5"/>
  <c r="EZ14" i="5"/>
  <c r="EY14" i="5"/>
  <c r="EX14" i="5"/>
  <c r="EW14" i="5"/>
  <c r="EV14" i="5"/>
  <c r="EU14" i="5"/>
  <c r="ET14" i="5"/>
  <c r="ES14" i="5"/>
  <c r="ER14" i="5"/>
  <c r="EQ14" i="5"/>
  <c r="EP14" i="5"/>
  <c r="EO14" i="5"/>
  <c r="EN14" i="5"/>
  <c r="EM14" i="5"/>
  <c r="EL14" i="5"/>
  <c r="EK14" i="5"/>
  <c r="EJ14" i="5"/>
  <c r="EI14" i="5"/>
  <c r="EH14" i="5"/>
  <c r="EG14" i="5"/>
  <c r="EF14" i="5"/>
  <c r="EE14" i="5"/>
  <c r="ED14" i="5"/>
  <c r="EC14" i="5"/>
  <c r="EB14" i="5"/>
  <c r="EA14" i="5"/>
  <c r="DZ14" i="5"/>
  <c r="DY14" i="5"/>
  <c r="DX14" i="5"/>
  <c r="DW14" i="5"/>
  <c r="DV14" i="5"/>
  <c r="DU14" i="5"/>
  <c r="DT14" i="5"/>
  <c r="DS14" i="5"/>
  <c r="DR14" i="5"/>
  <c r="DQ14" i="5"/>
  <c r="DP14" i="5"/>
  <c r="DO14" i="5"/>
  <c r="DN14" i="5"/>
  <c r="DM14" i="5"/>
  <c r="DL14" i="5"/>
  <c r="DK14" i="5"/>
  <c r="DJ14" i="5"/>
  <c r="DI14" i="5"/>
  <c r="DH14" i="5"/>
  <c r="DG14" i="5"/>
  <c r="DF14" i="5"/>
  <c r="DE14" i="5"/>
  <c r="DD14" i="5"/>
  <c r="DC14" i="5"/>
  <c r="DB14" i="5"/>
  <c r="DA14" i="5"/>
  <c r="FL13" i="5"/>
  <c r="FK13" i="5"/>
  <c r="FJ13" i="5"/>
  <c r="FI13" i="5"/>
  <c r="FH13" i="5"/>
  <c r="FG13" i="5"/>
  <c r="FF13" i="5"/>
  <c r="FE13" i="5"/>
  <c r="FD13" i="5"/>
  <c r="FC13" i="5"/>
  <c r="FB13" i="5"/>
  <c r="FA13" i="5"/>
  <c r="EZ13" i="5"/>
  <c r="EY13" i="5"/>
  <c r="EX13" i="5"/>
  <c r="EW13" i="5"/>
  <c r="EV13" i="5"/>
  <c r="EU13" i="5"/>
  <c r="ET13" i="5"/>
  <c r="ES13" i="5"/>
  <c r="ER13" i="5"/>
  <c r="EQ13" i="5"/>
  <c r="EP13" i="5"/>
  <c r="EO13" i="5"/>
  <c r="EN13" i="5"/>
  <c r="EM13" i="5"/>
  <c r="EL13" i="5"/>
  <c r="EK13" i="5"/>
  <c r="EJ13" i="5"/>
  <c r="EI13" i="5"/>
  <c r="EH13" i="5"/>
  <c r="EG13" i="5"/>
  <c r="EF13" i="5"/>
  <c r="EE13" i="5"/>
  <c r="ED13" i="5"/>
  <c r="EC13" i="5"/>
  <c r="EB13" i="5"/>
  <c r="EA13" i="5"/>
  <c r="DZ13" i="5"/>
  <c r="DY13" i="5"/>
  <c r="DX13" i="5"/>
  <c r="DW13" i="5"/>
  <c r="DV13" i="5"/>
  <c r="DU13" i="5"/>
  <c r="DT13" i="5"/>
  <c r="DS13" i="5"/>
  <c r="DR13" i="5"/>
  <c r="DQ13" i="5"/>
  <c r="DP13" i="5"/>
  <c r="DO13" i="5"/>
  <c r="DN13" i="5"/>
  <c r="DM13" i="5"/>
  <c r="DL13" i="5"/>
  <c r="DK13" i="5"/>
  <c r="DJ13" i="5"/>
  <c r="DI13" i="5"/>
  <c r="DH13" i="5"/>
  <c r="DG13" i="5"/>
  <c r="DF13" i="5"/>
  <c r="DE13" i="5"/>
  <c r="DD13" i="5"/>
  <c r="DC13" i="5"/>
  <c r="DB13" i="5"/>
  <c r="DA13" i="5"/>
  <c r="FL12" i="5"/>
  <c r="FK12" i="5"/>
  <c r="FJ12" i="5"/>
  <c r="FI12" i="5"/>
  <c r="FH12" i="5"/>
  <c r="FG12" i="5"/>
  <c r="FF12" i="5"/>
  <c r="FE12" i="5"/>
  <c r="FD12" i="5"/>
  <c r="FC12" i="5"/>
  <c r="FB12" i="5"/>
  <c r="FA12" i="5"/>
  <c r="EZ12" i="5"/>
  <c r="EY12" i="5"/>
  <c r="EX12" i="5"/>
  <c r="EW12" i="5"/>
  <c r="EV12" i="5"/>
  <c r="EU12" i="5"/>
  <c r="ET12" i="5"/>
  <c r="ES12" i="5"/>
  <c r="ER12" i="5"/>
  <c r="EQ12" i="5"/>
  <c r="EP12" i="5"/>
  <c r="EO12" i="5"/>
  <c r="EN12" i="5"/>
  <c r="EM12" i="5"/>
  <c r="EL12" i="5"/>
  <c r="EK12" i="5"/>
  <c r="EJ12" i="5"/>
  <c r="EI12" i="5"/>
  <c r="EH12" i="5"/>
  <c r="EG12" i="5"/>
  <c r="EF12" i="5"/>
  <c r="EE12" i="5"/>
  <c r="ED12" i="5"/>
  <c r="EC12" i="5"/>
  <c r="EB12" i="5"/>
  <c r="EA12" i="5"/>
  <c r="DZ12" i="5"/>
  <c r="DY12" i="5"/>
  <c r="DX12" i="5"/>
  <c r="DW12" i="5"/>
  <c r="DV12" i="5"/>
  <c r="DU12" i="5"/>
  <c r="DT12" i="5"/>
  <c r="DS12" i="5"/>
  <c r="DR12" i="5"/>
  <c r="DQ12" i="5"/>
  <c r="DP12" i="5"/>
  <c r="DO12" i="5"/>
  <c r="DN12" i="5"/>
  <c r="DM12" i="5"/>
  <c r="DL12" i="5"/>
  <c r="DK12" i="5"/>
  <c r="DJ12" i="5"/>
  <c r="DI12" i="5"/>
  <c r="DH12" i="5"/>
  <c r="DG12" i="5"/>
  <c r="DF12" i="5"/>
  <c r="DE12" i="5"/>
  <c r="DD12" i="5"/>
  <c r="DC12" i="5"/>
  <c r="DB12" i="5"/>
  <c r="DA12" i="5"/>
  <c r="FL11" i="5"/>
  <c r="FK11" i="5"/>
  <c r="FJ11" i="5"/>
  <c r="FI11" i="5"/>
  <c r="FH11" i="5"/>
  <c r="FG11" i="5"/>
  <c r="FF11" i="5"/>
  <c r="FE11" i="5"/>
  <c r="FD11" i="5"/>
  <c r="FC11" i="5"/>
  <c r="FB11" i="5"/>
  <c r="FA11" i="5"/>
  <c r="EZ11" i="5"/>
  <c r="EY11" i="5"/>
  <c r="EX11" i="5"/>
  <c r="EW11" i="5"/>
  <c r="EV11" i="5"/>
  <c r="EU11" i="5"/>
  <c r="ET11" i="5"/>
  <c r="ES11" i="5"/>
  <c r="ER11" i="5"/>
  <c r="EQ11" i="5"/>
  <c r="EP11" i="5"/>
  <c r="EO11" i="5"/>
  <c r="EN11" i="5"/>
  <c r="EM11" i="5"/>
  <c r="EL11" i="5"/>
  <c r="EK11" i="5"/>
  <c r="EJ11" i="5"/>
  <c r="EI11" i="5"/>
  <c r="EH11" i="5"/>
  <c r="EG11" i="5"/>
  <c r="EF11" i="5"/>
  <c r="EE11" i="5"/>
  <c r="ED11" i="5"/>
  <c r="EC11" i="5"/>
  <c r="EB11" i="5"/>
  <c r="EA11" i="5"/>
  <c r="DZ11" i="5"/>
  <c r="DY11" i="5"/>
  <c r="DX11" i="5"/>
  <c r="DW11" i="5"/>
  <c r="DV11" i="5"/>
  <c r="DU11" i="5"/>
  <c r="DT11" i="5"/>
  <c r="DS11" i="5"/>
  <c r="DR11" i="5"/>
  <c r="DQ11" i="5"/>
  <c r="DP11" i="5"/>
  <c r="DO11" i="5"/>
  <c r="DN11" i="5"/>
  <c r="DM11" i="5"/>
  <c r="DL11" i="5"/>
  <c r="DK11" i="5"/>
  <c r="DJ11" i="5"/>
  <c r="DI11" i="5"/>
  <c r="DG11" i="5"/>
  <c r="DF11" i="5"/>
  <c r="DE11" i="5"/>
  <c r="DD11" i="5"/>
  <c r="DC11" i="5"/>
  <c r="DB11" i="5"/>
  <c r="DA11" i="5"/>
  <c r="FL10" i="5"/>
  <c r="FK10" i="5"/>
  <c r="FJ10" i="5"/>
  <c r="FI10" i="5"/>
  <c r="FH10" i="5"/>
  <c r="FG10" i="5"/>
  <c r="FF10" i="5"/>
  <c r="FE10" i="5"/>
  <c r="FD10" i="5"/>
  <c r="FC10" i="5"/>
  <c r="FB10" i="5"/>
  <c r="FA10" i="5"/>
  <c r="EZ10" i="5"/>
  <c r="EY10" i="5"/>
  <c r="EX10" i="5"/>
  <c r="EW10" i="5"/>
  <c r="EV10" i="5"/>
  <c r="EU10" i="5"/>
  <c r="ET10" i="5"/>
  <c r="ES10" i="5"/>
  <c r="ER10" i="5"/>
  <c r="EQ10" i="5"/>
  <c r="EP10" i="5"/>
  <c r="EO10" i="5"/>
  <c r="EN10" i="5"/>
  <c r="EM10" i="5"/>
  <c r="EL10" i="5"/>
  <c r="EK10" i="5"/>
  <c r="EJ10" i="5"/>
  <c r="EI10" i="5"/>
  <c r="EH10" i="5"/>
  <c r="EG10" i="5"/>
  <c r="EF10" i="5"/>
  <c r="EE10" i="5"/>
  <c r="ED10" i="5"/>
  <c r="EC10" i="5"/>
  <c r="EB10" i="5"/>
  <c r="EA10" i="5"/>
  <c r="DZ10" i="5"/>
  <c r="DY10" i="5"/>
  <c r="DX10" i="5"/>
  <c r="DW10" i="5"/>
  <c r="DV10" i="5"/>
  <c r="DU10" i="5"/>
  <c r="DT10" i="5"/>
  <c r="DS10" i="5"/>
  <c r="DR10" i="5"/>
  <c r="DQ10" i="5"/>
  <c r="DP10" i="5"/>
  <c r="DO10" i="5"/>
  <c r="DN10" i="5"/>
  <c r="DM10" i="5"/>
  <c r="DL10" i="5"/>
  <c r="DK10" i="5"/>
  <c r="DJ10" i="5"/>
  <c r="DI10" i="5"/>
  <c r="DG10" i="5"/>
  <c r="DF10" i="5"/>
  <c r="DE10" i="5"/>
  <c r="DD10" i="5"/>
  <c r="DC10" i="5"/>
  <c r="DB10" i="5"/>
  <c r="DA10" i="5"/>
  <c r="FL9" i="5"/>
  <c r="FK9" i="5"/>
  <c r="FJ9" i="5"/>
  <c r="FI9" i="5"/>
  <c r="FH9" i="5"/>
  <c r="FG9" i="5"/>
  <c r="FF9" i="5"/>
  <c r="FE9" i="5"/>
  <c r="FD9" i="5"/>
  <c r="FC9" i="5"/>
  <c r="FB9" i="5"/>
  <c r="FA9" i="5"/>
  <c r="EZ9" i="5"/>
  <c r="EY9" i="5"/>
  <c r="EX9" i="5"/>
  <c r="EW9" i="5"/>
  <c r="EV9" i="5"/>
  <c r="EU9" i="5"/>
  <c r="ET9" i="5"/>
  <c r="ES9" i="5"/>
  <c r="ER9" i="5"/>
  <c r="EQ9" i="5"/>
  <c r="EP9" i="5"/>
  <c r="EO9" i="5"/>
  <c r="EN9" i="5"/>
  <c r="EM9" i="5"/>
  <c r="EL9" i="5"/>
  <c r="EK9" i="5"/>
  <c r="EJ9" i="5"/>
  <c r="EI9" i="5"/>
  <c r="EH9" i="5"/>
  <c r="EG9" i="5"/>
  <c r="EF9" i="5"/>
  <c r="EE9" i="5"/>
  <c r="ED9" i="5"/>
  <c r="EC9" i="5"/>
  <c r="EB9" i="5"/>
  <c r="EA9" i="5"/>
  <c r="DZ9" i="5"/>
  <c r="DY9" i="5"/>
  <c r="DX9" i="5"/>
  <c r="DW9" i="5"/>
  <c r="DV9" i="5"/>
  <c r="DU9" i="5"/>
  <c r="DT9" i="5"/>
  <c r="DS9" i="5"/>
  <c r="DR9" i="5"/>
  <c r="DQ9" i="5"/>
  <c r="DP9" i="5"/>
  <c r="DO9" i="5"/>
  <c r="DN9" i="5"/>
  <c r="DM9" i="5"/>
  <c r="DL9" i="5"/>
  <c r="DK9" i="5"/>
  <c r="DJ9" i="5"/>
  <c r="DI9" i="5"/>
  <c r="DH9" i="5"/>
  <c r="DG9" i="5"/>
  <c r="DF9" i="5"/>
  <c r="DE9" i="5"/>
  <c r="DD9" i="5"/>
  <c r="DC9" i="5"/>
  <c r="DB9" i="5"/>
  <c r="DA9" i="5"/>
  <c r="FL4" i="5"/>
  <c r="FK4" i="5"/>
  <c r="FJ4" i="5"/>
  <c r="FI4" i="5"/>
  <c r="FH4" i="5"/>
  <c r="FG4" i="5"/>
  <c r="FF4" i="5"/>
  <c r="FE4" i="5"/>
  <c r="FD4" i="5"/>
  <c r="FC4" i="5"/>
  <c r="FB4" i="5"/>
  <c r="FA4" i="5"/>
  <c r="EZ4" i="5"/>
  <c r="EY4" i="5"/>
  <c r="EX4" i="5"/>
  <c r="EW4" i="5"/>
  <c r="EV4" i="5"/>
  <c r="EU4" i="5"/>
  <c r="ET4" i="5"/>
  <c r="ES4" i="5"/>
  <c r="ER4" i="5"/>
  <c r="EQ4" i="5"/>
  <c r="EP4" i="5"/>
  <c r="EO4" i="5"/>
  <c r="EN4" i="5"/>
  <c r="EM4" i="5"/>
  <c r="EL4" i="5"/>
  <c r="EK4" i="5"/>
  <c r="EJ4" i="5"/>
  <c r="EI4" i="5"/>
  <c r="EH4" i="5"/>
  <c r="EG4" i="5"/>
  <c r="EF4" i="5"/>
  <c r="EE4" i="5"/>
  <c r="ED4" i="5"/>
  <c r="EC4" i="5"/>
  <c r="EB4" i="5"/>
  <c r="EA4" i="5"/>
  <c r="DZ4" i="5"/>
  <c r="DY4" i="5"/>
  <c r="DX4" i="5"/>
  <c r="DW4" i="5"/>
  <c r="DV4" i="5"/>
  <c r="DU4" i="5"/>
  <c r="DT4" i="5"/>
  <c r="DS4" i="5"/>
  <c r="DR4" i="5"/>
  <c r="DQ4" i="5"/>
  <c r="DP4" i="5"/>
  <c r="DO4" i="5"/>
  <c r="DN4" i="5"/>
  <c r="DM4" i="5"/>
  <c r="DL4" i="5"/>
  <c r="DK4" i="5"/>
  <c r="DJ4" i="5"/>
  <c r="DI4" i="5"/>
  <c r="DH4" i="5"/>
  <c r="DG4" i="5"/>
  <c r="DF4" i="5"/>
  <c r="DE4" i="5"/>
  <c r="DD4" i="5"/>
  <c r="DC4" i="5"/>
  <c r="DB4" i="5"/>
  <c r="DA4" i="5"/>
  <c r="G1" i="12"/>
  <c r="C1" i="12"/>
  <c r="E1" i="9"/>
  <c r="C1" i="9"/>
  <c r="C1" i="5"/>
  <c r="BW4" i="5"/>
  <c r="BV4" i="5"/>
  <c r="BU4" i="5"/>
  <c r="BT4" i="5"/>
  <c r="BS4" i="5"/>
  <c r="BR4" i="5"/>
  <c r="BQ4" i="5"/>
  <c r="BP4" i="5"/>
  <c r="BO4" i="5"/>
  <c r="BN4" i="5"/>
  <c r="BM4" i="5"/>
  <c r="BL4" i="5"/>
  <c r="BK4" i="5"/>
  <c r="BJ4" i="5"/>
  <c r="BI4" i="5"/>
  <c r="BH4" i="5"/>
  <c r="BG4" i="5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</calcChain>
</file>

<file path=xl/comments1.xml><?xml version="1.0" encoding="utf-8"?>
<comments xmlns="http://schemas.openxmlformats.org/spreadsheetml/2006/main">
  <authors>
    <author>陳寬學</author>
  </authors>
  <commentList>
    <comment ref="L66" authorId="0">
      <text>
        <r>
          <rPr>
            <sz val="12"/>
            <color indexed="81"/>
            <rFont val="新細明體"/>
            <family val="1"/>
            <charset val="136"/>
          </rPr>
          <t>匯出符合以下條件工作
1.outlook註記不等於1
2.工作未完成
於匯出後，工作類別名稱等於專案代號</t>
        </r>
      </text>
    </comment>
    <comment ref="L68" authorId="0">
      <text>
        <r>
          <rPr>
            <sz val="12"/>
            <color indexed="81"/>
            <rFont val="新細明體"/>
            <family val="1"/>
            <charset val="136"/>
          </rPr>
          <t>匯出條件同outlook工作，並需預計開始及結束日期。
均為全天事項</t>
        </r>
      </text>
    </comment>
    <comment ref="K70" authorId="0">
      <text>
        <r>
          <rPr>
            <sz val="12"/>
            <color indexed="81"/>
            <rFont val="新細明體"/>
            <family val="1"/>
            <charset val="136"/>
          </rPr>
          <t>以數字順序編工作項目的編號，視需要使用
如果要自訂編號，需在/Config/ sheets裡設定</t>
        </r>
      </text>
    </comment>
  </commentList>
</comments>
</file>

<file path=xl/comments2.xml><?xml version="1.0" encoding="utf-8"?>
<comments xmlns="http://schemas.openxmlformats.org/spreadsheetml/2006/main">
  <authors>
    <author>陳寬學</author>
  </authors>
  <commentList>
    <comment ref="A5" authorId="0">
      <text>
        <r>
          <rPr>
            <b/>
            <sz val="9"/>
            <color indexed="81"/>
            <rFont val="新細明體"/>
            <family val="1"/>
            <charset val="136"/>
          </rPr>
          <t>陳寬學:
目前使用檢視方式
(W/D)
不要手動更改</t>
        </r>
      </text>
    </comment>
    <comment ref="D5" authorId="0">
      <text>
        <r>
          <rPr>
            <b/>
            <sz val="9"/>
            <color indexed="81"/>
            <rFont val="新細明體"/>
            <family val="1"/>
            <charset val="136"/>
          </rPr>
          <t>陳寬學:</t>
        </r>
        <r>
          <rPr>
            <sz val="9"/>
            <color indexed="81"/>
            <rFont val="新細明體"/>
            <family val="1"/>
            <charset val="136"/>
          </rPr>
          <t xml:space="preserve">
日顯示時，開始的日期</t>
        </r>
      </text>
    </comment>
    <comment ref="E5" authorId="0">
      <text>
        <r>
          <rPr>
            <b/>
            <sz val="9"/>
            <color indexed="81"/>
            <rFont val="新細明體"/>
            <family val="1"/>
            <charset val="136"/>
          </rPr>
          <t>陳寬學:</t>
        </r>
        <r>
          <rPr>
            <sz val="9"/>
            <color indexed="81"/>
            <rFont val="新細明體"/>
            <family val="1"/>
            <charset val="136"/>
          </rPr>
          <t xml:space="preserve">
有達到進度的欄位顯示</t>
        </r>
      </text>
    </comment>
    <comment ref="H5" authorId="0">
      <text>
        <r>
          <rPr>
            <b/>
            <sz val="9"/>
            <color indexed="81"/>
            <rFont val="新細明體"/>
            <family val="1"/>
            <charset val="136"/>
          </rPr>
          <t>陳寬學:</t>
        </r>
        <r>
          <rPr>
            <sz val="9"/>
            <color indexed="81"/>
            <rFont val="新細明體"/>
            <family val="1"/>
            <charset val="136"/>
          </rPr>
          <t xml:space="preserve">
沒有達到進度的欄位顯示</t>
        </r>
      </text>
    </comment>
    <comment ref="A7" authorId="0">
      <text>
        <r>
          <rPr>
            <sz val="12"/>
            <color indexed="81"/>
            <rFont val="新細明體"/>
            <family val="1"/>
            <charset val="136"/>
          </rPr>
          <t>陳寬學:
於 COnfig sheete可設定是否輸入
流水號編號.
如果要自訂編號時，選不重新計算
如果要每次都使用流水號,選重新計算</t>
        </r>
      </text>
    </comment>
    <comment ref="F7" authorId="0">
      <text>
        <r>
          <rPr>
            <sz val="12"/>
            <color indexed="81"/>
            <rFont val="新細明體"/>
            <family val="1"/>
            <charset val="136"/>
          </rPr>
          <t>陳寬學：
自行應用，可以設定為實際開始日期</t>
        </r>
      </text>
    </comment>
    <comment ref="G7" authorId="0">
      <text>
        <r>
          <rPr>
            <sz val="12"/>
            <color indexed="81"/>
            <rFont val="新細明體"/>
            <family val="1"/>
            <charset val="136"/>
          </rPr>
          <t>陳寬學:
自行應用，可以設定為實際完成日期</t>
        </r>
      </text>
    </comment>
    <comment ref="H7" authorId="0">
      <text>
        <r>
          <rPr>
            <sz val="12"/>
            <color indexed="81"/>
            <rFont val="新細明體"/>
            <family val="1"/>
            <charset val="136"/>
          </rPr>
          <t>陳寬學:
建議匯總人員才填寫此欄位，以明確定義工作完成度。
可使用average()幫助自動計算進度</t>
        </r>
      </text>
    </comment>
    <comment ref="J7" authorId="0">
      <text>
        <r>
          <rPr>
            <b/>
            <sz val="12"/>
            <color indexed="81"/>
            <rFont val="新細明體"/>
            <family val="1"/>
            <charset val="136"/>
          </rPr>
          <t>陳寬學:</t>
        </r>
        <r>
          <rPr>
            <sz val="12"/>
            <color indexed="81"/>
            <rFont val="新細明體"/>
            <family val="1"/>
            <charset val="136"/>
          </rPr>
          <t xml:space="preserve">
Mail Messager預設要通知的成員 or 成員們</t>
        </r>
      </text>
    </comment>
    <comment ref="K7" authorId="0">
      <text>
        <r>
          <rPr>
            <sz val="12"/>
            <color indexed="81"/>
            <rFont val="新細明體"/>
            <family val="1"/>
            <charset val="136"/>
          </rPr>
          <t>陳寬學:
保留</t>
        </r>
      </text>
    </comment>
    <comment ref="L7" authorId="0">
      <text>
        <r>
          <rPr>
            <sz val="12"/>
            <color indexed="81"/>
            <rFont val="新細明體"/>
            <family val="1"/>
            <charset val="136"/>
          </rPr>
          <t>陳寬學:
是否要與OUTLOOK同步
=1 不同步
&lt;&gt;1同步</t>
        </r>
      </text>
    </comment>
  </commentList>
</comments>
</file>

<file path=xl/comments3.xml><?xml version="1.0" encoding="utf-8"?>
<comments xmlns="http://schemas.openxmlformats.org/spreadsheetml/2006/main">
  <authors>
    <author>陳寬學</author>
  </authors>
  <commentList>
    <comment ref="G1" authorId="0">
      <text>
        <r>
          <rPr>
            <b/>
            <sz val="9"/>
            <color indexed="81"/>
            <rFont val="新細明體"/>
            <family val="1"/>
            <charset val="136"/>
          </rPr>
          <t>陳寬學:</t>
        </r>
        <r>
          <rPr>
            <sz val="9"/>
            <color indexed="81"/>
            <rFont val="新細明體"/>
            <family val="1"/>
            <charset val="136"/>
          </rPr>
          <t xml:space="preserve">
今天日期</t>
        </r>
      </text>
    </comment>
    <comment ref="C3" authorId="0">
      <text>
        <r>
          <rPr>
            <b/>
            <sz val="11"/>
            <color indexed="81"/>
            <rFont val="新細明體"/>
            <family val="1"/>
            <charset val="136"/>
          </rPr>
          <t>陳寬學:</t>
        </r>
        <r>
          <rPr>
            <sz val="11"/>
            <color indexed="81"/>
            <rFont val="新細明體"/>
            <family val="1"/>
            <charset val="136"/>
          </rPr>
          <t xml:space="preserve">
D日內未完成的待完成事項</t>
        </r>
      </text>
    </comment>
    <comment ref="I6" authorId="0">
      <text>
        <r>
          <rPr>
            <sz val="12"/>
            <color indexed="81"/>
            <rFont val="新細明體"/>
            <family val="1"/>
            <charset val="136"/>
          </rPr>
          <t>通知：可產生信件
不通知：不產生信件</t>
        </r>
      </text>
    </comment>
  </commentList>
</comments>
</file>

<file path=xl/sharedStrings.xml><?xml version="1.0" encoding="utf-8"?>
<sst xmlns="http://schemas.openxmlformats.org/spreadsheetml/2006/main" count="188" uniqueCount="159">
  <si>
    <t>名稱</t>
    <phoneticPr fontId="2" type="noConversion"/>
  </si>
  <si>
    <t>編號</t>
    <phoneticPr fontId="2" type="noConversion"/>
  </si>
  <si>
    <t>狀況</t>
    <phoneticPr fontId="2" type="noConversion"/>
  </si>
  <si>
    <t>說明</t>
    <phoneticPr fontId="2" type="noConversion"/>
  </si>
  <si>
    <t>結束</t>
    <phoneticPr fontId="2" type="noConversion"/>
  </si>
  <si>
    <t>月份</t>
    <phoneticPr fontId="2" type="noConversion"/>
  </si>
  <si>
    <t>日期序 -&gt;</t>
    <phoneticPr fontId="2" type="noConversion"/>
  </si>
  <si>
    <t>開始</t>
    <phoneticPr fontId="2" type="noConversion"/>
  </si>
  <si>
    <t>進度</t>
    <phoneticPr fontId="2" type="noConversion"/>
  </si>
  <si>
    <t>月份</t>
    <phoneticPr fontId="2" type="noConversion"/>
  </si>
  <si>
    <t>星期</t>
    <phoneticPr fontId="2" type="noConversion"/>
  </si>
  <si>
    <t>負責</t>
    <phoneticPr fontId="2" type="noConversion"/>
  </si>
  <si>
    <t>S</t>
    <phoneticPr fontId="2" type="noConversion"/>
  </si>
  <si>
    <t>Contact</t>
    <phoneticPr fontId="2" type="noConversion"/>
  </si>
  <si>
    <t>姓名</t>
    <phoneticPr fontId="2" type="noConversion"/>
  </si>
  <si>
    <t>簡稱</t>
    <phoneticPr fontId="2" type="noConversion"/>
  </si>
  <si>
    <t>信箱</t>
    <phoneticPr fontId="2" type="noConversion"/>
  </si>
  <si>
    <t>備註</t>
    <phoneticPr fontId="2" type="noConversion"/>
  </si>
  <si>
    <t>名稱</t>
    <phoneticPr fontId="2" type="noConversion"/>
  </si>
  <si>
    <t>設定值</t>
    <phoneticPr fontId="2" type="noConversion"/>
  </si>
  <si>
    <t>備註</t>
    <phoneticPr fontId="2" type="noConversion"/>
  </si>
  <si>
    <t>專案代號</t>
    <phoneticPr fontId="2" type="noConversion"/>
  </si>
  <si>
    <t>電話</t>
    <phoneticPr fontId="2" type="noConversion"/>
  </si>
  <si>
    <t>參數設定</t>
    <phoneticPr fontId="2" type="noConversion"/>
  </si>
  <si>
    <t>專案代號</t>
    <phoneticPr fontId="2" type="noConversion"/>
  </si>
  <si>
    <t>今日</t>
    <phoneticPr fontId="2" type="noConversion"/>
  </si>
  <si>
    <t>Contact Sheet</t>
    <phoneticPr fontId="2" type="noConversion"/>
  </si>
  <si>
    <t>AlertView Sheet</t>
    <phoneticPr fontId="2" type="noConversion"/>
  </si>
  <si>
    <t>工作項目最大數</t>
    <phoneticPr fontId="2" type="noConversion"/>
  </si>
  <si>
    <t>MAIL通知</t>
    <phoneticPr fontId="2" type="noConversion"/>
  </si>
  <si>
    <t>預先警示天數</t>
    <phoneticPr fontId="2" type="noConversion"/>
  </si>
  <si>
    <t>天</t>
    <phoneticPr fontId="2" type="noConversion"/>
  </si>
  <si>
    <t>結果日期&lt;今日,狀況&lt;&gt;已完成</t>
    <phoneticPr fontId="2" type="noConversion"/>
  </si>
  <si>
    <t>結果日期&lt;今日-預先警示天數 ,狀況&lt;&gt;已完成</t>
    <phoneticPr fontId="2" type="noConversion"/>
  </si>
  <si>
    <t>MAIL通知欄位=通知, 才會產生信件</t>
    <phoneticPr fontId="2" type="noConversion"/>
  </si>
  <si>
    <t>全部</t>
    <phoneticPr fontId="2" type="noConversion"/>
  </si>
  <si>
    <t>user1@mail.com</t>
    <phoneticPr fontId="2" type="noConversion"/>
  </si>
  <si>
    <t>Program Sheet</t>
    <phoneticPr fontId="2" type="noConversion"/>
  </si>
  <si>
    <t>依日別顯示</t>
    <phoneticPr fontId="2" type="noConversion"/>
  </si>
  <si>
    <t>是否在Refresh時
都重新計算編號</t>
    <phoneticPr fontId="2" type="noConversion"/>
  </si>
  <si>
    <t>依週別顯示</t>
    <phoneticPr fontId="2" type="noConversion"/>
  </si>
  <si>
    <t>日別GANTT</t>
    <phoneticPr fontId="2" type="noConversion"/>
  </si>
  <si>
    <t>週別GANTT</t>
    <phoneticPr fontId="2" type="noConversion"/>
  </si>
  <si>
    <t>是否使用OUTLOOK</t>
    <phoneticPr fontId="2" type="noConversion"/>
  </si>
  <si>
    <t>不重新計算</t>
  </si>
  <si>
    <t>／</t>
    <phoneticPr fontId="2" type="noConversion"/>
  </si>
  <si>
    <t>便捷隱藏區域</t>
    <phoneticPr fontId="2" type="noConversion"/>
  </si>
  <si>
    <t>隱藏區域，隱藏部份欄位</t>
    <phoneticPr fontId="2" type="noConversion"/>
  </si>
  <si>
    <t>需求訪談</t>
    <phoneticPr fontId="2" type="noConversion"/>
  </si>
  <si>
    <t>系統分析</t>
    <phoneticPr fontId="2" type="noConversion"/>
  </si>
  <si>
    <t>A</t>
    <phoneticPr fontId="2" type="noConversion"/>
  </si>
  <si>
    <t>使用 OUTLOOK才有
1.Mail 功能
2.Outlook 工作功能
3.Outllook 行事曆功能</t>
    <phoneticPr fontId="2" type="noConversion"/>
  </si>
  <si>
    <t>CVS</t>
    <phoneticPr fontId="2" type="noConversion"/>
  </si>
  <si>
    <t>Program</t>
    <phoneticPr fontId="2" type="noConversion"/>
  </si>
  <si>
    <t>Contact</t>
    <phoneticPr fontId="2" type="noConversion"/>
  </si>
  <si>
    <t>Alert</t>
    <phoneticPr fontId="2" type="noConversion"/>
  </si>
  <si>
    <t>■</t>
    <phoneticPr fontId="2" type="noConversion"/>
  </si>
  <si>
    <t>專案開始日</t>
    <phoneticPr fontId="2" type="noConversion"/>
  </si>
  <si>
    <t>週別檢視顯示切換</t>
    <phoneticPr fontId="2" type="noConversion"/>
  </si>
  <si>
    <t>日檢視顯示切換</t>
    <phoneticPr fontId="2" type="noConversion"/>
  </si>
  <si>
    <t>輸入0~31：以當日往回計算N天開始顯示</t>
    <phoneticPr fontId="2" type="noConversion"/>
  </si>
  <si>
    <t>今日-N日開始顯示</t>
    <phoneticPr fontId="2" type="noConversion"/>
  </si>
  <si>
    <t>◇</t>
    <phoneticPr fontId="2" type="noConversion"/>
  </si>
  <si>
    <t>週別檢視切換
選擇YES：以[專案開始日]月份開始顯示
選擇NO：不調整開始顯示月份</t>
    <phoneticPr fontId="2" type="noConversion"/>
  </si>
  <si>
    <t>日程表專案的開始年月
週別檢視時，會以此日的月份開始顯示</t>
    <phoneticPr fontId="2" type="noConversion"/>
  </si>
  <si>
    <t>成員1</t>
    <phoneticPr fontId="2" type="noConversion"/>
  </si>
  <si>
    <t>user4@mail.com</t>
    <phoneticPr fontId="2" type="noConversion"/>
  </si>
  <si>
    <t>預定</t>
    <phoneticPr fontId="2" type="noConversion"/>
  </si>
  <si>
    <t>預定</t>
    <phoneticPr fontId="2" type="noConversion"/>
  </si>
  <si>
    <t>週別檢視切換
選擇YES：以今日-N日開始顯示，（N值為下一個設定參數）
選擇NO：以當月一日開始顯示</t>
    <phoneticPr fontId="2" type="noConversion"/>
  </si>
  <si>
    <t>Yes</t>
  </si>
  <si>
    <t>實際</t>
    <phoneticPr fontId="2" type="noConversion"/>
  </si>
  <si>
    <t>C:C,D:E,F:G,K:L</t>
    <phoneticPr fontId="2" type="noConversion"/>
  </si>
  <si>
    <t>da:fl</t>
    <phoneticPr fontId="2" type="noConversion"/>
  </si>
  <si>
    <t>m:cz</t>
    <phoneticPr fontId="2" type="noConversion"/>
  </si>
  <si>
    <t>進行中</t>
  </si>
  <si>
    <t>西元年/月</t>
    <phoneticPr fontId="2" type="noConversion"/>
  </si>
  <si>
    <t>開始日期</t>
    <phoneticPr fontId="2" type="noConversion"/>
  </si>
  <si>
    <t>結束日期</t>
    <phoneticPr fontId="2" type="noConversion"/>
  </si>
  <si>
    <t>DateChart2_1.4</t>
    <phoneticPr fontId="2" type="noConversion"/>
  </si>
  <si>
    <t>Windows2000 以上</t>
    <phoneticPr fontId="2" type="noConversion"/>
  </si>
  <si>
    <t>Excel 2000 以上</t>
    <phoneticPr fontId="2" type="noConversion"/>
  </si>
  <si>
    <t>再以以下的畫面進行所需工作</t>
    <phoneticPr fontId="2" type="noConversion"/>
  </si>
  <si>
    <t>週別/月別顯示</t>
    <phoneticPr fontId="2" type="noConversion"/>
  </si>
  <si>
    <t>可以切換顯示日/週別</t>
    <phoneticPr fontId="2" type="noConversion"/>
  </si>
  <si>
    <t>隱藏某些欄位(如A:A,D:G,I:J)以方便檢視</t>
    <phoneticPr fontId="2" type="noConversion"/>
  </si>
  <si>
    <t>匯出outlook工作</t>
    <phoneticPr fontId="2" type="noConversion"/>
  </si>
  <si>
    <t>將原本日程表畫面的按鈕集中到一個按[Fn]鈕</t>
    <phoneticPr fontId="2" type="noConversion"/>
  </si>
  <si>
    <t>全部</t>
    <phoneticPr fontId="2" type="noConversion"/>
  </si>
  <si>
    <t>◆目前指標工作項</t>
    <phoneticPr fontId="2" type="noConversion"/>
  </si>
  <si>
    <t>◆日程表顯示</t>
    <phoneticPr fontId="2" type="noConversion"/>
  </si>
  <si>
    <t>◆outlook功能</t>
    <phoneticPr fontId="2" type="noConversion"/>
  </si>
  <si>
    <t>Notes：此頁如果不使用可以刪除，不會影響功能</t>
    <phoneticPr fontId="2" type="noConversion"/>
  </si>
  <si>
    <t>□日程表清單</t>
    <phoneticPr fontId="2" type="noConversion"/>
  </si>
  <si>
    <t>◆選出延誤警示</t>
    <phoneticPr fontId="2" type="noConversion"/>
  </si>
  <si>
    <t>◆預先警示</t>
    <phoneticPr fontId="2" type="noConversion"/>
  </si>
  <si>
    <t>◆寄出通出信件</t>
    <phoneticPr fontId="2" type="noConversion"/>
  </si>
  <si>
    <t>主要的時程及milestore</t>
    <phoneticPr fontId="2" type="noConversion"/>
  </si>
  <si>
    <t>可自行繪圖表示，及加上文字說明</t>
    <phoneticPr fontId="2" type="noConversion"/>
  </si>
  <si>
    <t>找出未完成及待完成的工作</t>
    <phoneticPr fontId="2" type="noConversion"/>
  </si>
  <si>
    <t>□ 日期設定</t>
    <phoneticPr fontId="2" type="noConversion"/>
  </si>
  <si>
    <t>成員2</t>
    <phoneticPr fontId="2" type="noConversion"/>
  </si>
  <si>
    <t>user2@mail.com</t>
    <phoneticPr fontId="2" type="noConversion"/>
  </si>
  <si>
    <t>□ 聯絡人設定</t>
    <phoneticPr fontId="2" type="noConversion"/>
  </si>
  <si>
    <t>簡捷隱藏</t>
    <phoneticPr fontId="2" type="noConversion"/>
  </si>
  <si>
    <t>□ 警示清單</t>
    <phoneticPr fontId="2" type="noConversion"/>
  </si>
  <si>
    <t>□ Outlook信件</t>
    <phoneticPr fontId="2" type="noConversion"/>
  </si>
  <si>
    <t>自行繪圖區</t>
    <phoneticPr fontId="2" type="noConversion"/>
  </si>
  <si>
    <t>Outlook 2000以上 (非必需)</t>
    <phoneticPr fontId="2" type="noConversion"/>
  </si>
  <si>
    <t>◆AUTOFIX</t>
    <phoneticPr fontId="2" type="noConversion"/>
  </si>
  <si>
    <t>自動以計算目前應用進度。</t>
    <phoneticPr fontId="2" type="noConversion"/>
  </si>
  <si>
    <t>如果指標有停在工作項，按下後會顯示工作內容</t>
    <phoneticPr fontId="2" type="noConversion"/>
  </si>
  <si>
    <t>◆寄信給負責人</t>
    <phoneticPr fontId="2" type="noConversion"/>
  </si>
  <si>
    <t>使用Outlook功能編寫信件</t>
    <phoneticPr fontId="2" type="noConversion"/>
  </si>
  <si>
    <t>其他：</t>
  </si>
  <si>
    <t>跨年的時候，進度Bar顯示不正常</t>
  </si>
  <si>
    <t>要計算工作項目使用的日數</t>
  </si>
  <si>
    <t>父工作項目的完成率要由子項目的完成率取平均</t>
  </si>
  <si>
    <t>日程式的內容差異比較</t>
  </si>
  <si>
    <t>在保留的欄位，使用者自行運用即可
工作天數=結束日-開始日+1天</t>
    <phoneticPr fontId="2" type="noConversion"/>
  </si>
  <si>
    <t>□ 其它</t>
    <phoneticPr fontId="2" type="noConversion"/>
  </si>
  <si>
    <t>自行運用，用AVERAGEA函數，取子工作項目的完成率即可。如果要保守預估，可以用Min</t>
    <phoneticPr fontId="2" type="noConversion"/>
  </si>
  <si>
    <t>□簡要說明</t>
    <phoneticPr fontId="2" type="noConversion"/>
  </si>
  <si>
    <t>配合工作清單使用，寄信時自動帶入電子信箱清單</t>
    <phoneticPr fontId="2" type="noConversion"/>
  </si>
  <si>
    <t>圖中只能了解目前進度，無法對較上一次到現在的差異
建議以下的方法對應：
1.A進度表全選→複製→存成A純文字檔
2.B進度表全選→複製→存成B純文字檔
3.使用檔案比對工具比對差異。(windiff之類的工具)</t>
    <phoneticPr fontId="2" type="noConversion"/>
  </si>
  <si>
    <t>查看工作項目的開始日期及結束日期。因為顯示只有顯示月及日，年份沒有顯示。修改欄位內容為正確年份</t>
    <phoneticPr fontId="2" type="noConversion"/>
  </si>
  <si>
    <t>將日程表畫面分為</t>
    <phoneticPr fontId="2" type="noConversion"/>
  </si>
  <si>
    <t>標題區</t>
    <phoneticPr fontId="2" type="noConversion"/>
  </si>
  <si>
    <t>B</t>
    <phoneticPr fontId="2" type="noConversion"/>
  </si>
  <si>
    <t>C</t>
    <phoneticPr fontId="2" type="noConversion"/>
  </si>
  <si>
    <t>工作項目</t>
    <phoneticPr fontId="2" type="noConversion"/>
  </si>
  <si>
    <t>工作資料存放的位置</t>
    <phoneticPr fontId="2" type="noConversion"/>
  </si>
  <si>
    <t>D</t>
    <phoneticPr fontId="2" type="noConversion"/>
  </si>
  <si>
    <t>甘特圖</t>
    <phoneticPr fontId="2" type="noConversion"/>
  </si>
  <si>
    <t>□日程表選單功能：在Program sheets按下[Fn]會顯示以下圖面</t>
    <phoneticPr fontId="2" type="noConversion"/>
  </si>
  <si>
    <t>將工作項目抄寫一份至outlook行事曆</t>
    <phoneticPr fontId="2" type="noConversion"/>
  </si>
  <si>
    <t>將工作項目抄寫一份至outlook工作</t>
    <phoneticPr fontId="2" type="noConversion"/>
  </si>
  <si>
    <t>日別甘特圖區域(勿任意更改)</t>
    <phoneticPr fontId="2" type="noConversion"/>
  </si>
  <si>
    <t>週別甘特圖區域(勿任意更改)</t>
    <phoneticPr fontId="2" type="noConversion"/>
  </si>
  <si>
    <t>細部使用</t>
    <phoneticPr fontId="2" type="noConversion"/>
  </si>
  <si>
    <t>顯示設定</t>
    <phoneticPr fontId="2" type="noConversion"/>
  </si>
  <si>
    <t>勿任意更改</t>
    <phoneticPr fontId="2" type="noConversion"/>
  </si>
  <si>
    <t>勿任意更改</t>
    <phoneticPr fontId="2" type="noConversion"/>
  </si>
  <si>
    <t>聯絡清單（限設定100個)</t>
    <phoneticPr fontId="2" type="noConversion"/>
  </si>
  <si>
    <t>匯出outlook行事曆</t>
    <phoneticPr fontId="2" type="noConversion"/>
  </si>
  <si>
    <t>◆重新編號</t>
    <phoneticPr fontId="2" type="noConversion"/>
  </si>
  <si>
    <t>配合使用日別／週別切換方式切換所要檢視</t>
    <phoneticPr fontId="2" type="noConversion"/>
  </si>
  <si>
    <t>參考工具使用的方式</t>
    <phoneticPr fontId="2" type="noConversion"/>
  </si>
  <si>
    <t>工作項目如果要自訂編號，此項目要選不重新計算</t>
    <phoneticPr fontId="2" type="noConversion"/>
  </si>
  <si>
    <t>※如果只使用日程表功能不使用Outlook相關功能，在Config頁設定【不使用Outlook功能】，Alert及Contact Sheet將自動隱藏，以簡潔畫面</t>
    <phoneticPr fontId="2" type="noConversion"/>
  </si>
  <si>
    <t>已應過天數為分子。</t>
    <phoneticPr fontId="2" type="noConversion"/>
  </si>
  <si>
    <t>以預計開始至預計結束日數為分母</t>
    <phoneticPr fontId="2" type="noConversion"/>
  </si>
  <si>
    <t>限制：如果在週別檢視下有繪圖，就不要再切換為日別檢視。以防止繪圖錯置位置</t>
    <phoneticPr fontId="2" type="noConversion"/>
  </si>
  <si>
    <t>※週別檢視可以設定專案開始日使繪圖不會易位</t>
    <phoneticPr fontId="2" type="noConversion"/>
  </si>
  <si>
    <t>Outlook的使用主為編寫信件</t>
    <phoneticPr fontId="2" type="noConversion"/>
  </si>
  <si>
    <t>工作及日曆為單向抄寫，無雙向同步</t>
    <phoneticPr fontId="2" type="noConversion"/>
  </si>
  <si>
    <t>輔助的範圍</t>
    <phoneticPr fontId="2" type="noConversion"/>
  </si>
  <si>
    <t>30 D 待辦事項</t>
    <phoneticPr fontId="2" type="noConversion"/>
  </si>
  <si>
    <t>沒有用MS OUTLOOK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</si>
</sst>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86" formatCode="d"/>
    <numFmt numFmtId="187" formatCode="0_);[Red]\(0\)"/>
    <numFmt numFmtId="188" formatCode="0000"/>
    <numFmt numFmtId="191" formatCode="m/d;@"/>
  </numFmts>
  <fonts count="16" x14ac:knownFonts="1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u/>
      <sz val="9"/>
      <color indexed="12"/>
      <name val="新細明體"/>
      <family val="1"/>
      <charset val="136"/>
    </font>
    <font>
      <b/>
      <sz val="12"/>
      <name val="新細明體"/>
      <family val="1"/>
      <charset val="136"/>
    </font>
    <font>
      <sz val="12"/>
      <color indexed="9"/>
      <name val="新細明體"/>
      <family val="1"/>
      <charset val="136"/>
    </font>
    <font>
      <u/>
      <sz val="12"/>
      <name val="新細明體"/>
      <family val="1"/>
      <charset val="136"/>
    </font>
    <font>
      <sz val="9"/>
      <color indexed="81"/>
      <name val="新細明體"/>
      <family val="1"/>
      <charset val="136"/>
    </font>
    <font>
      <b/>
      <sz val="9"/>
      <color indexed="81"/>
      <name val="新細明體"/>
      <family val="1"/>
      <charset val="136"/>
    </font>
    <font>
      <sz val="12"/>
      <color indexed="81"/>
      <name val="新細明體"/>
      <family val="1"/>
      <charset val="136"/>
    </font>
    <font>
      <b/>
      <sz val="11"/>
      <color indexed="81"/>
      <name val="新細明體"/>
      <family val="1"/>
      <charset val="136"/>
    </font>
    <font>
      <sz val="11"/>
      <color indexed="81"/>
      <name val="新細明體"/>
      <family val="1"/>
      <charset val="136"/>
    </font>
    <font>
      <u/>
      <sz val="12"/>
      <color indexed="12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color indexed="81"/>
      <name val="新細明體"/>
      <family val="1"/>
      <charset val="136"/>
    </font>
    <font>
      <sz val="12"/>
      <name val="新細明體"/>
      <family val="1"/>
      <charset val="136"/>
    </font>
  </fonts>
  <fills count="10">
    <fill>
      <patternFill patternType="none"/>
    </fill>
    <fill>
      <patternFill patternType="gray125"/>
    </fill>
    <fill>
      <patternFill patternType="solid">
        <fgColor indexed="5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4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86">
    <xf numFmtId="0" fontId="0" fillId="0" borderId="0" xfId="0">
      <alignment vertical="center"/>
    </xf>
    <xf numFmtId="0" fontId="0" fillId="0" borderId="0" xfId="0" applyAlignment="1">
      <alignment vertical="center"/>
    </xf>
    <xf numFmtId="187" fontId="0" fillId="0" borderId="0" xfId="0" applyNumberFormat="1">
      <alignment vertical="center"/>
    </xf>
    <xf numFmtId="186" fontId="5" fillId="2" borderId="1" xfId="0" applyNumberFormat="1" applyFont="1" applyFill="1" applyBorder="1">
      <alignment vertical="center"/>
    </xf>
    <xf numFmtId="0" fontId="5" fillId="2" borderId="2" xfId="0" applyFont="1" applyFill="1" applyBorder="1">
      <alignment vertical="center"/>
    </xf>
    <xf numFmtId="0" fontId="5" fillId="2" borderId="3" xfId="0" applyFont="1" applyFill="1" applyBorder="1">
      <alignment vertical="center"/>
    </xf>
    <xf numFmtId="0" fontId="4" fillId="0" borderId="0" xfId="0" applyFont="1">
      <alignment vertical="center"/>
    </xf>
    <xf numFmtId="186" fontId="5" fillId="2" borderId="4" xfId="0" applyNumberFormat="1" applyFont="1" applyFill="1" applyBorder="1">
      <alignment vertical="center"/>
    </xf>
    <xf numFmtId="0" fontId="0" fillId="3" borderId="5" xfId="0" applyFill="1" applyBorder="1">
      <alignment vertical="center"/>
    </xf>
    <xf numFmtId="0" fontId="5" fillId="2" borderId="0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4" borderId="6" xfId="0" applyFont="1" applyFill="1" applyBorder="1">
      <alignment vertical="center"/>
    </xf>
    <xf numFmtId="188" fontId="0" fillId="0" borderId="0" xfId="0" applyNumberFormat="1" applyProtection="1">
      <alignment vertical="center"/>
      <protection locked="0"/>
    </xf>
    <xf numFmtId="0" fontId="0" fillId="0" borderId="0" xfId="0" applyNumberFormat="1" applyProtection="1">
      <alignment vertical="center"/>
      <protection locked="0"/>
    </xf>
    <xf numFmtId="191" fontId="0" fillId="0" borderId="0" xfId="0" applyNumberFormat="1" applyProtection="1">
      <alignment vertical="center"/>
      <protection locked="0"/>
    </xf>
    <xf numFmtId="187" fontId="6" fillId="0" borderId="0" xfId="0" applyNumberFormat="1" applyFont="1" applyProtection="1">
      <alignment vertical="center"/>
      <protection locked="0"/>
    </xf>
    <xf numFmtId="0" fontId="6" fillId="3" borderId="0" xfId="0" applyFont="1" applyFill="1" applyBorder="1" applyProtection="1">
      <alignment vertical="center"/>
      <protection locked="0"/>
    </xf>
    <xf numFmtId="14" fontId="0" fillId="3" borderId="5" xfId="0" applyNumberFormat="1" applyFill="1" applyBorder="1">
      <alignment vertical="center"/>
    </xf>
    <xf numFmtId="0" fontId="0" fillId="3" borderId="7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6" xfId="0" applyFill="1" applyBorder="1">
      <alignment vertical="center"/>
    </xf>
    <xf numFmtId="0" fontId="4" fillId="3" borderId="8" xfId="0" applyFont="1" applyFill="1" applyBorder="1">
      <alignment vertical="center"/>
    </xf>
    <xf numFmtId="0" fontId="0" fillId="3" borderId="9" xfId="0" applyFill="1" applyBorder="1">
      <alignment vertical="center"/>
    </xf>
    <xf numFmtId="0" fontId="4" fillId="3" borderId="10" xfId="0" applyFont="1" applyFill="1" applyBorder="1">
      <alignment vertical="center"/>
    </xf>
    <xf numFmtId="0" fontId="6" fillId="3" borderId="5" xfId="0" applyFont="1" applyFill="1" applyBorder="1" applyProtection="1">
      <alignment vertical="center"/>
      <protection locked="0"/>
    </xf>
    <xf numFmtId="0" fontId="0" fillId="3" borderId="11" xfId="0" applyFill="1" applyBorder="1">
      <alignment vertical="center"/>
    </xf>
    <xf numFmtId="14" fontId="0" fillId="3" borderId="4" xfId="0" applyNumberFormat="1" applyFill="1" applyBorder="1">
      <alignment vertical="center"/>
    </xf>
    <xf numFmtId="0" fontId="0" fillId="3" borderId="1" xfId="0" applyFill="1" applyBorder="1">
      <alignment vertical="center"/>
    </xf>
    <xf numFmtId="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22" fontId="0" fillId="3" borderId="5" xfId="0" applyNumberFormat="1" applyFill="1" applyBorder="1" applyProtection="1">
      <alignment vertical="center"/>
      <protection locked="0"/>
    </xf>
    <xf numFmtId="187" fontId="1" fillId="5" borderId="5" xfId="0" applyNumberFormat="1" applyFont="1" applyFill="1" applyBorder="1" applyProtection="1">
      <alignment vertical="center"/>
      <protection locked="0"/>
    </xf>
    <xf numFmtId="0" fontId="4" fillId="3" borderId="12" xfId="0" applyFont="1" applyFill="1" applyBorder="1">
      <alignment vertical="center"/>
    </xf>
    <xf numFmtId="0" fontId="6" fillId="3" borderId="13" xfId="0" applyFont="1" applyFill="1" applyBorder="1" applyAlignment="1" applyProtection="1">
      <alignment horizontal="left" vertical="center"/>
      <protection locked="0"/>
    </xf>
    <xf numFmtId="0" fontId="0" fillId="3" borderId="14" xfId="0" applyFill="1" applyBorder="1">
      <alignment vertical="center"/>
    </xf>
    <xf numFmtId="0" fontId="4" fillId="3" borderId="15" xfId="0" applyFont="1" applyFill="1" applyBorder="1" applyAlignment="1">
      <alignment vertical="center" wrapText="1"/>
    </xf>
    <xf numFmtId="0" fontId="6" fillId="3" borderId="16" xfId="0" applyFont="1" applyFill="1" applyBorder="1" applyAlignment="1" applyProtection="1">
      <alignment horizontal="left" vertical="center"/>
      <protection locked="0"/>
    </xf>
    <xf numFmtId="0" fontId="0" fillId="3" borderId="17" xfId="0" applyFill="1" applyBorder="1">
      <alignment vertical="center"/>
    </xf>
    <xf numFmtId="0" fontId="4" fillId="3" borderId="15" xfId="0" applyFont="1" applyFill="1" applyBorder="1">
      <alignment vertical="center"/>
    </xf>
    <xf numFmtId="0" fontId="4" fillId="3" borderId="18" xfId="0" applyFont="1" applyFill="1" applyBorder="1">
      <alignment vertical="center"/>
    </xf>
    <xf numFmtId="0" fontId="0" fillId="3" borderId="17" xfId="0" applyFill="1" applyBorder="1" applyAlignment="1">
      <alignment vertical="center" wrapText="1"/>
    </xf>
    <xf numFmtId="186" fontId="5" fillId="6" borderId="7" xfId="0" applyNumberFormat="1" applyFont="1" applyFill="1" applyBorder="1">
      <alignment vertical="center"/>
    </xf>
    <xf numFmtId="186" fontId="5" fillId="6" borderId="4" xfId="0" applyNumberFormat="1" applyFont="1" applyFill="1" applyBorder="1">
      <alignment vertical="center"/>
    </xf>
    <xf numFmtId="186" fontId="5" fillId="6" borderId="19" xfId="0" applyNumberFormat="1" applyFont="1" applyFill="1" applyBorder="1">
      <alignment vertical="center"/>
    </xf>
    <xf numFmtId="186" fontId="5" fillId="6" borderId="3" xfId="0" applyNumberFormat="1" applyFont="1" applyFill="1" applyBorder="1">
      <alignment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188" fontId="0" fillId="7" borderId="4" xfId="0" applyNumberFormat="1" applyFill="1" applyBorder="1">
      <alignment vertical="center"/>
    </xf>
    <xf numFmtId="188" fontId="1" fillId="7" borderId="4" xfId="0" applyNumberFormat="1" applyFont="1" applyFill="1" applyBorder="1" applyProtection="1">
      <alignment vertical="center"/>
      <protection locked="0"/>
    </xf>
    <xf numFmtId="0" fontId="0" fillId="7" borderId="4" xfId="0" applyNumberFormat="1" applyFill="1" applyBorder="1" applyProtection="1">
      <alignment vertical="center"/>
      <protection locked="0"/>
    </xf>
    <xf numFmtId="191" fontId="0" fillId="7" borderId="4" xfId="0" applyNumberFormat="1" applyFill="1" applyBorder="1" applyProtection="1">
      <alignment vertical="center"/>
      <protection locked="0"/>
    </xf>
    <xf numFmtId="9" fontId="0" fillId="7" borderId="4" xfId="0" applyNumberFormat="1" applyFill="1" applyBorder="1" applyProtection="1">
      <alignment vertical="center"/>
      <protection locked="0"/>
    </xf>
    <xf numFmtId="188" fontId="0" fillId="7" borderId="4" xfId="0" applyNumberFormat="1" applyFill="1" applyBorder="1" applyProtection="1">
      <alignment vertical="center"/>
      <protection locked="0"/>
    </xf>
    <xf numFmtId="1" fontId="0" fillId="7" borderId="4" xfId="0" applyNumberFormat="1" applyFill="1" applyBorder="1" applyProtection="1">
      <alignment vertical="center"/>
      <protection locked="0"/>
    </xf>
    <xf numFmtId="1" fontId="0" fillId="7" borderId="6" xfId="0" applyNumberFormat="1" applyFill="1" applyBorder="1" applyProtection="1">
      <alignment vertical="center"/>
      <protection locked="0"/>
    </xf>
    <xf numFmtId="0" fontId="0" fillId="7" borderId="4" xfId="0" applyFill="1" applyBorder="1" applyAlignment="1">
      <alignment vertical="center"/>
    </xf>
    <xf numFmtId="0" fontId="0" fillId="3" borderId="20" xfId="0" applyFill="1" applyBorder="1">
      <alignment vertical="center"/>
    </xf>
    <xf numFmtId="0" fontId="0" fillId="3" borderId="21" xfId="0" applyFill="1" applyBorder="1">
      <alignment vertical="center"/>
    </xf>
    <xf numFmtId="0" fontId="0" fillId="3" borderId="14" xfId="0" applyFill="1" applyBorder="1" applyAlignment="1">
      <alignment vertical="center" wrapText="1"/>
    </xf>
    <xf numFmtId="14" fontId="6" fillId="3" borderId="13" xfId="0" applyNumberFormat="1" applyFont="1" applyFill="1" applyBorder="1" applyAlignment="1" applyProtection="1">
      <alignment horizontal="left" vertical="center"/>
      <protection locked="0"/>
    </xf>
    <xf numFmtId="0" fontId="4" fillId="3" borderId="12" xfId="0" applyFont="1" applyFill="1" applyBorder="1" applyAlignment="1">
      <alignment vertical="center" wrapText="1"/>
    </xf>
    <xf numFmtId="14" fontId="6" fillId="3" borderId="16" xfId="0" applyNumberFormat="1" applyFont="1" applyFill="1" applyBorder="1" applyAlignment="1" applyProtection="1">
      <alignment horizontal="left" vertical="center"/>
      <protection locked="0"/>
    </xf>
    <xf numFmtId="0" fontId="6" fillId="3" borderId="16" xfId="0" applyFont="1" applyFill="1" applyBorder="1" applyAlignment="1">
      <alignment horizontal="left" vertical="center" wrapText="1"/>
    </xf>
    <xf numFmtId="0" fontId="0" fillId="0" borderId="9" xfId="0" applyNumberFormat="1" applyBorder="1" applyProtection="1">
      <alignment vertical="center"/>
      <protection locked="0"/>
    </xf>
    <xf numFmtId="0" fontId="0" fillId="0" borderId="1" xfId="0" applyFill="1" applyBorder="1" applyProtection="1">
      <alignment vertical="center"/>
      <protection locked="0"/>
    </xf>
    <xf numFmtId="0" fontId="0" fillId="0" borderId="0" xfId="0" applyFill="1">
      <alignment vertical="center"/>
    </xf>
    <xf numFmtId="191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5" fillId="8" borderId="0" xfId="0" applyFont="1" applyFill="1">
      <alignment vertical="center"/>
    </xf>
    <xf numFmtId="0" fontId="12" fillId="0" borderId="0" xfId="1" applyFont="1" applyAlignment="1" applyProtection="1">
      <alignment vertical="center"/>
    </xf>
    <xf numFmtId="0" fontId="5" fillId="0" borderId="0" xfId="0" applyFont="1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right" vertical="center"/>
    </xf>
    <xf numFmtId="0" fontId="0" fillId="0" borderId="1" xfId="0" applyBorder="1" applyAlignment="1">
      <alignment horizontal="left" vertical="top" wrapText="1"/>
    </xf>
    <xf numFmtId="0" fontId="15" fillId="8" borderId="0" xfId="0" applyFont="1" applyFill="1">
      <alignment vertical="center"/>
    </xf>
    <xf numFmtId="0" fontId="13" fillId="9" borderId="0" xfId="0" applyFont="1" applyFill="1">
      <alignment vertical="center"/>
    </xf>
    <xf numFmtId="0" fontId="0" fillId="0" borderId="7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14" fontId="0" fillId="3" borderId="5" xfId="0" applyNumberForma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2">
    <cellStyle name="一般" xfId="0" builtinId="0"/>
    <cellStyle name="超連結" xfId="1" builtinId="8"/>
  </cellStyles>
  <dxfs count="13">
    <dxf>
      <fill>
        <patternFill>
          <bgColor indexed="43"/>
        </patternFill>
      </fill>
      <border>
        <left style="dotted">
          <color indexed="64"/>
        </left>
      </border>
    </dxf>
    <dxf>
      <font>
        <condense val="0"/>
        <extend val="0"/>
        <color auto="1"/>
      </font>
      <fill>
        <patternFill>
          <bgColor indexed="41"/>
        </patternFill>
      </fill>
      <border>
        <top style="thin">
          <color indexed="64"/>
        </top>
        <bottom style="thin">
          <color indexed="64"/>
        </bottom>
      </border>
    </dxf>
    <dxf>
      <fill>
        <patternFill patternType="gray0625">
          <bgColor indexed="23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ill>
        <patternFill>
          <bgColor indexed="22"/>
        </patternFill>
      </fill>
    </dxf>
    <dxf>
      <fill>
        <patternFill>
          <bgColor indexed="41"/>
        </patternFill>
      </fill>
      <border>
        <top style="thin">
          <color indexed="64"/>
        </top>
        <bottom style="thin">
          <color indexed="64"/>
        </bottom>
      </border>
    </dxf>
    <dxf>
      <fill>
        <patternFill patternType="gray0625">
          <bgColor indexed="23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ill>
        <patternFill>
          <bgColor indexed="43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6"/>
        </patternFill>
      </fill>
    </dxf>
    <dxf>
      <fill>
        <patternFill>
          <bgColor indexed="23"/>
        </patternFill>
      </fill>
    </dxf>
    <dxf>
      <font>
        <b val="0"/>
        <i val="0"/>
        <condense val="0"/>
        <extend val="0"/>
        <color indexed="9"/>
      </font>
      <fill>
        <patternFill>
          <bgColor indexed="8"/>
        </patternFill>
      </fill>
      <border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condense val="0"/>
        <extend val="0"/>
        <color indexed="9"/>
      </font>
      <fill>
        <patternFill>
          <bgColor indexed="8"/>
        </patternFill>
      </fill>
      <border>
        <left/>
        <right/>
        <top style="thin">
          <color indexed="64"/>
        </top>
        <bottom style="thin">
          <color indexed="64"/>
        </bottom>
      </border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jpeg"/><Relationship Id="rId7" Type="http://schemas.openxmlformats.org/officeDocument/2006/relationships/image" Target="../media/image7.jpeg"/><Relationship Id="rId8" Type="http://schemas.openxmlformats.org/officeDocument/2006/relationships/image" Target="../media/image8.png"/><Relationship Id="rId1" Type="http://schemas.openxmlformats.org/officeDocument/2006/relationships/image" Target="../media/image1.jpeg"/><Relationship Id="rId2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Relationship Id="rId2" Type="http://schemas.openxmlformats.org/officeDocument/2006/relationships/image" Target="../media/image11.emf"/><Relationship Id="rId3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368300</xdr:colOff>
      <xdr:row>125</xdr:row>
      <xdr:rowOff>0</xdr:rowOff>
    </xdr:from>
    <xdr:to>
      <xdr:col>12</xdr:col>
      <xdr:colOff>482600</xdr:colOff>
      <xdr:row>150</xdr:row>
      <xdr:rowOff>177800</xdr:rowOff>
    </xdr:to>
    <xdr:pic>
      <xdr:nvPicPr>
        <xdr:cNvPr id="17481" name="Picture 73" descr="SNAG00000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00" y="23050500"/>
          <a:ext cx="7493000" cy="4940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114300</xdr:colOff>
      <xdr:row>51</xdr:row>
      <xdr:rowOff>38100</xdr:rowOff>
    </xdr:from>
    <xdr:to>
      <xdr:col>8</xdr:col>
      <xdr:colOff>622300</xdr:colOff>
      <xdr:row>70</xdr:row>
      <xdr:rowOff>0</xdr:rowOff>
    </xdr:to>
    <xdr:pic>
      <xdr:nvPicPr>
        <xdr:cNvPr id="17478" name="Picture 70" descr="未命名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8991600"/>
          <a:ext cx="5892800" cy="3581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254000</xdr:colOff>
      <xdr:row>31</xdr:row>
      <xdr:rowOff>101600</xdr:rowOff>
    </xdr:from>
    <xdr:to>
      <xdr:col>9</xdr:col>
      <xdr:colOff>342900</xdr:colOff>
      <xdr:row>47</xdr:row>
      <xdr:rowOff>38100</xdr:rowOff>
    </xdr:to>
    <xdr:pic>
      <xdr:nvPicPr>
        <xdr:cNvPr id="17421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00" y="5245100"/>
          <a:ext cx="6146800" cy="29845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  <xdr:twoCellAnchor>
    <xdr:from>
      <xdr:col>0</xdr:col>
      <xdr:colOff>63500</xdr:colOff>
      <xdr:row>31</xdr:row>
      <xdr:rowOff>12700</xdr:rowOff>
    </xdr:from>
    <xdr:to>
      <xdr:col>9</xdr:col>
      <xdr:colOff>546100</xdr:colOff>
      <xdr:row>34</xdr:row>
      <xdr:rowOff>101600</xdr:rowOff>
    </xdr:to>
    <xdr:sp macro="" textlink="">
      <xdr:nvSpPr>
        <xdr:cNvPr id="17410" name="Rectangle 2"/>
        <xdr:cNvSpPr>
          <a:spLocks noChangeArrowheads="1"/>
        </xdr:cNvSpPr>
      </xdr:nvSpPr>
      <xdr:spPr bwMode="auto">
        <a:xfrm>
          <a:off x="63500" y="5156200"/>
          <a:ext cx="6540500" cy="660400"/>
        </a:xfrm>
        <a:prstGeom prst="rect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DD0806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TW" sz="1200" b="1" i="0" u="none" strike="noStrike" baseline="0">
              <a:solidFill>
                <a:srgbClr val="DD0806"/>
              </a:solidFill>
              <a:latin typeface="新細明體"/>
              <a:ea typeface="新細明體"/>
              <a:cs typeface="新細明體"/>
            </a:rPr>
            <a:t>A</a:t>
          </a:r>
        </a:p>
      </xdr:txBody>
    </xdr:sp>
    <xdr:clientData/>
  </xdr:twoCellAnchor>
  <xdr:twoCellAnchor>
    <xdr:from>
      <xdr:col>0</xdr:col>
      <xdr:colOff>101600</xdr:colOff>
      <xdr:row>34</xdr:row>
      <xdr:rowOff>177800</xdr:rowOff>
    </xdr:from>
    <xdr:to>
      <xdr:col>9</xdr:col>
      <xdr:colOff>558800</xdr:colOff>
      <xdr:row>37</xdr:row>
      <xdr:rowOff>101600</xdr:rowOff>
    </xdr:to>
    <xdr:sp macro="" textlink="">
      <xdr:nvSpPr>
        <xdr:cNvPr id="17411" name="Rectangle 3"/>
        <xdr:cNvSpPr>
          <a:spLocks noChangeArrowheads="1"/>
        </xdr:cNvSpPr>
      </xdr:nvSpPr>
      <xdr:spPr bwMode="auto">
        <a:xfrm>
          <a:off x="101600" y="5892800"/>
          <a:ext cx="6515100" cy="495300"/>
        </a:xfrm>
        <a:prstGeom prst="rect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DD0806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altLang="zh-TW" sz="1200" b="1" i="0" u="none" strike="noStrike" baseline="0">
              <a:solidFill>
                <a:srgbClr val="DD0806"/>
              </a:solidFill>
              <a:latin typeface="新細明體"/>
              <a:ea typeface="新細明體"/>
              <a:cs typeface="新細明體"/>
            </a:rPr>
            <a:t>B</a:t>
          </a:r>
        </a:p>
      </xdr:txBody>
    </xdr:sp>
    <xdr:clientData/>
  </xdr:twoCellAnchor>
  <xdr:twoCellAnchor>
    <xdr:from>
      <xdr:col>0</xdr:col>
      <xdr:colOff>50800</xdr:colOff>
      <xdr:row>37</xdr:row>
      <xdr:rowOff>76200</xdr:rowOff>
    </xdr:from>
    <xdr:to>
      <xdr:col>5</xdr:col>
      <xdr:colOff>571500</xdr:colOff>
      <xdr:row>47</xdr:row>
      <xdr:rowOff>152400</xdr:rowOff>
    </xdr:to>
    <xdr:sp macro="" textlink="">
      <xdr:nvSpPr>
        <xdr:cNvPr id="17412" name="Rectangle 4"/>
        <xdr:cNvSpPr>
          <a:spLocks noChangeArrowheads="1"/>
        </xdr:cNvSpPr>
      </xdr:nvSpPr>
      <xdr:spPr bwMode="auto">
        <a:xfrm>
          <a:off x="50800" y="6362700"/>
          <a:ext cx="3886200" cy="1981200"/>
        </a:xfrm>
        <a:prstGeom prst="rect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DD0806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altLang="zh-TW" sz="1200" b="1" i="0" u="none" strike="noStrike" baseline="0">
              <a:solidFill>
                <a:srgbClr val="DD0806"/>
              </a:solidFill>
              <a:latin typeface="新細明體"/>
              <a:ea typeface="新細明體"/>
              <a:cs typeface="新細明體"/>
            </a:rPr>
            <a:t>C</a:t>
          </a:r>
        </a:p>
      </xdr:txBody>
    </xdr:sp>
    <xdr:clientData/>
  </xdr:twoCellAnchor>
  <xdr:twoCellAnchor>
    <xdr:from>
      <xdr:col>5</xdr:col>
      <xdr:colOff>622300</xdr:colOff>
      <xdr:row>37</xdr:row>
      <xdr:rowOff>114300</xdr:rowOff>
    </xdr:from>
    <xdr:to>
      <xdr:col>9</xdr:col>
      <xdr:colOff>444500</xdr:colOff>
      <xdr:row>47</xdr:row>
      <xdr:rowOff>127000</xdr:rowOff>
    </xdr:to>
    <xdr:sp macro="" textlink="">
      <xdr:nvSpPr>
        <xdr:cNvPr id="17413" name="Rectangle 5"/>
        <xdr:cNvSpPr>
          <a:spLocks noChangeArrowheads="1"/>
        </xdr:cNvSpPr>
      </xdr:nvSpPr>
      <xdr:spPr bwMode="auto">
        <a:xfrm>
          <a:off x="3987800" y="6400800"/>
          <a:ext cx="2514600" cy="1917700"/>
        </a:xfrm>
        <a:prstGeom prst="rect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DD0806" mc:Ignorable="a14" a14:legacySpreadsheetColorIndex="1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vertOverflow="clip" wrap="square" lIns="0" tIns="22860" rIns="27432" bIns="0" anchor="t" upright="1"/>
        <a:lstStyle/>
        <a:p>
          <a:pPr algn="r" rtl="0">
            <a:defRPr sz="1000"/>
          </a:pPr>
          <a:r>
            <a:rPr lang="en-US" altLang="zh-TW" sz="1200" b="1" i="0" u="none" strike="noStrike" baseline="0">
              <a:solidFill>
                <a:srgbClr val="DD0806"/>
              </a:solidFill>
              <a:latin typeface="新細明體"/>
              <a:ea typeface="新細明體"/>
              <a:cs typeface="新細明體"/>
            </a:rPr>
            <a:t>D</a:t>
          </a:r>
        </a:p>
      </xdr:txBody>
    </xdr:sp>
    <xdr:clientData/>
  </xdr:twoCellAnchor>
  <xdr:twoCellAnchor>
    <xdr:from>
      <xdr:col>2</xdr:col>
      <xdr:colOff>139700</xdr:colOff>
      <xdr:row>50</xdr:row>
      <xdr:rowOff>177800</xdr:rowOff>
    </xdr:from>
    <xdr:to>
      <xdr:col>10</xdr:col>
      <xdr:colOff>12700</xdr:colOff>
      <xdr:row>54</xdr:row>
      <xdr:rowOff>127000</xdr:rowOff>
    </xdr:to>
    <xdr:sp macro="" textlink="">
      <xdr:nvSpPr>
        <xdr:cNvPr id="17416" name="Freeform 8"/>
        <xdr:cNvSpPr>
          <a:spLocks/>
        </xdr:cNvSpPr>
      </xdr:nvSpPr>
      <xdr:spPr bwMode="auto">
        <a:xfrm>
          <a:off x="1485900" y="8940800"/>
          <a:ext cx="5257800" cy="711200"/>
        </a:xfrm>
        <a:custGeom>
          <a:avLst/>
          <a:gdLst>
            <a:gd name="T0" fmla="*/ 562 w 562"/>
            <a:gd name="T1" fmla="*/ 83 h 83"/>
            <a:gd name="T2" fmla="*/ 534 w 562"/>
            <a:gd name="T3" fmla="*/ 0 h 83"/>
            <a:gd name="T4" fmla="*/ 126 w 562"/>
            <a:gd name="T5" fmla="*/ 3 h 83"/>
            <a:gd name="T6" fmla="*/ 0 w 562"/>
            <a:gd name="T7" fmla="*/ 66 h 8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0" t="0" r="r" b="b"/>
          <a:pathLst>
            <a:path w="562" h="83">
              <a:moveTo>
                <a:pt x="562" y="83"/>
              </a:moveTo>
              <a:lnTo>
                <a:pt x="534" y="0"/>
              </a:lnTo>
              <a:lnTo>
                <a:pt x="126" y="3"/>
              </a:lnTo>
              <a:lnTo>
                <a:pt x="0" y="66"/>
              </a:lnTo>
            </a:path>
          </a:pathLst>
        </a:custGeom>
        <a:noFill/>
        <a:ln w="38100" cmpd="sng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1</xdr:col>
      <xdr:colOff>190500</xdr:colOff>
      <xdr:row>58</xdr:row>
      <xdr:rowOff>63500</xdr:rowOff>
    </xdr:from>
    <xdr:to>
      <xdr:col>10</xdr:col>
      <xdr:colOff>0</xdr:colOff>
      <xdr:row>63</xdr:row>
      <xdr:rowOff>76200</xdr:rowOff>
    </xdr:to>
    <xdr:sp macro="" textlink="">
      <xdr:nvSpPr>
        <xdr:cNvPr id="17418" name="Freeform 10"/>
        <xdr:cNvSpPr>
          <a:spLocks/>
        </xdr:cNvSpPr>
      </xdr:nvSpPr>
      <xdr:spPr bwMode="auto">
        <a:xfrm>
          <a:off x="863600" y="10350500"/>
          <a:ext cx="5867400" cy="965200"/>
        </a:xfrm>
        <a:custGeom>
          <a:avLst/>
          <a:gdLst>
            <a:gd name="T0" fmla="*/ 627 w 627"/>
            <a:gd name="T1" fmla="*/ 0 h 111"/>
            <a:gd name="T2" fmla="*/ 184 w 627"/>
            <a:gd name="T3" fmla="*/ 8 h 111"/>
            <a:gd name="T4" fmla="*/ 0 w 627"/>
            <a:gd name="T5" fmla="*/ 111 h 11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627" h="111">
              <a:moveTo>
                <a:pt x="627" y="0"/>
              </a:moveTo>
              <a:lnTo>
                <a:pt x="184" y="8"/>
              </a:lnTo>
              <a:lnTo>
                <a:pt x="0" y="111"/>
              </a:lnTo>
            </a:path>
          </a:pathLst>
        </a:custGeom>
        <a:noFill/>
        <a:ln w="38100" cmpd="sng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7</xdr:col>
      <xdr:colOff>63500</xdr:colOff>
      <xdr:row>62</xdr:row>
      <xdr:rowOff>101600</xdr:rowOff>
    </xdr:from>
    <xdr:to>
      <xdr:col>10</xdr:col>
      <xdr:colOff>12700</xdr:colOff>
      <xdr:row>64</xdr:row>
      <xdr:rowOff>38100</xdr:rowOff>
    </xdr:to>
    <xdr:sp macro="" textlink="">
      <xdr:nvSpPr>
        <xdr:cNvPr id="17419" name="Freeform 11"/>
        <xdr:cNvSpPr>
          <a:spLocks/>
        </xdr:cNvSpPr>
      </xdr:nvSpPr>
      <xdr:spPr bwMode="auto">
        <a:xfrm>
          <a:off x="4775200" y="11150600"/>
          <a:ext cx="1968500" cy="317500"/>
        </a:xfrm>
        <a:custGeom>
          <a:avLst/>
          <a:gdLst>
            <a:gd name="T0" fmla="*/ 210 w 210"/>
            <a:gd name="T1" fmla="*/ 37 h 37"/>
            <a:gd name="T2" fmla="*/ 200 w 210"/>
            <a:gd name="T3" fmla="*/ 1 h 37"/>
            <a:gd name="T4" fmla="*/ 30 w 210"/>
            <a:gd name="T5" fmla="*/ 0 h 37"/>
            <a:gd name="T6" fmla="*/ 0 w 210"/>
            <a:gd name="T7" fmla="*/ 20 h 3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0" t="0" r="r" b="b"/>
          <a:pathLst>
            <a:path w="210" h="37">
              <a:moveTo>
                <a:pt x="210" y="37"/>
              </a:moveTo>
              <a:lnTo>
                <a:pt x="200" y="1"/>
              </a:lnTo>
              <a:lnTo>
                <a:pt x="30" y="0"/>
              </a:lnTo>
              <a:lnTo>
                <a:pt x="0" y="20"/>
              </a:lnTo>
            </a:path>
          </a:pathLst>
        </a:custGeom>
        <a:noFill/>
        <a:ln w="38100" cmpd="sng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 editAs="oneCell">
    <xdr:from>
      <xdr:col>0</xdr:col>
      <xdr:colOff>444500</xdr:colOff>
      <xdr:row>73</xdr:row>
      <xdr:rowOff>165100</xdr:rowOff>
    </xdr:from>
    <xdr:to>
      <xdr:col>9</xdr:col>
      <xdr:colOff>127000</xdr:colOff>
      <xdr:row>88</xdr:row>
      <xdr:rowOff>114300</xdr:rowOff>
    </xdr:to>
    <xdr:pic>
      <xdr:nvPicPr>
        <xdr:cNvPr id="17422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4500" y="13309600"/>
          <a:ext cx="5740400" cy="28067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76200</xdr:colOff>
      <xdr:row>75</xdr:row>
      <xdr:rowOff>63500</xdr:rowOff>
    </xdr:from>
    <xdr:to>
      <xdr:col>9</xdr:col>
      <xdr:colOff>584200</xdr:colOff>
      <xdr:row>76</xdr:row>
      <xdr:rowOff>0</xdr:rowOff>
    </xdr:to>
    <xdr:sp macro="" textlink="">
      <xdr:nvSpPr>
        <xdr:cNvPr id="17423" name="Line 15"/>
        <xdr:cNvSpPr>
          <a:spLocks noChangeShapeType="1"/>
        </xdr:cNvSpPr>
      </xdr:nvSpPr>
      <xdr:spPr bwMode="auto">
        <a:xfrm flipH="1">
          <a:off x="6134100" y="13589000"/>
          <a:ext cx="508000" cy="12700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 editAs="oneCell">
    <xdr:from>
      <xdr:col>0</xdr:col>
      <xdr:colOff>444500</xdr:colOff>
      <xdr:row>92</xdr:row>
      <xdr:rowOff>76200</xdr:rowOff>
    </xdr:from>
    <xdr:to>
      <xdr:col>8</xdr:col>
      <xdr:colOff>469900</xdr:colOff>
      <xdr:row>101</xdr:row>
      <xdr:rowOff>12700</xdr:rowOff>
    </xdr:to>
    <xdr:pic>
      <xdr:nvPicPr>
        <xdr:cNvPr id="17425" name="Picture 17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4500" y="16840200"/>
          <a:ext cx="5410200" cy="16510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</xdr:col>
      <xdr:colOff>12700</xdr:colOff>
      <xdr:row>106</xdr:row>
      <xdr:rowOff>0</xdr:rowOff>
    </xdr:from>
    <xdr:to>
      <xdr:col>9</xdr:col>
      <xdr:colOff>368300</xdr:colOff>
      <xdr:row>120</xdr:row>
      <xdr:rowOff>139700</xdr:rowOff>
    </xdr:to>
    <xdr:pic>
      <xdr:nvPicPr>
        <xdr:cNvPr id="17426" name="Picture 18" descr="SNAG0000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19431000"/>
          <a:ext cx="5740400" cy="280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101600</xdr:colOff>
      <xdr:row>106</xdr:row>
      <xdr:rowOff>0</xdr:rowOff>
    </xdr:from>
    <xdr:to>
      <xdr:col>19</xdr:col>
      <xdr:colOff>393700</xdr:colOff>
      <xdr:row>113</xdr:row>
      <xdr:rowOff>76200</xdr:rowOff>
    </xdr:to>
    <xdr:pic>
      <xdr:nvPicPr>
        <xdr:cNvPr id="17427" name="Picture 19" descr="SNAG00001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32600" y="19431000"/>
          <a:ext cx="5651500" cy="1409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63500</xdr:colOff>
      <xdr:row>110</xdr:row>
      <xdr:rowOff>63500</xdr:rowOff>
    </xdr:from>
    <xdr:to>
      <xdr:col>17</xdr:col>
      <xdr:colOff>139700</xdr:colOff>
      <xdr:row>116</xdr:row>
      <xdr:rowOff>0</xdr:rowOff>
    </xdr:to>
    <xdr:sp macro="" textlink="">
      <xdr:nvSpPr>
        <xdr:cNvPr id="17429" name="Freeform 21"/>
        <xdr:cNvSpPr>
          <a:spLocks/>
        </xdr:cNvSpPr>
      </xdr:nvSpPr>
      <xdr:spPr bwMode="auto">
        <a:xfrm>
          <a:off x="2082800" y="20256500"/>
          <a:ext cx="8801100" cy="1079500"/>
        </a:xfrm>
        <a:custGeom>
          <a:avLst/>
          <a:gdLst>
            <a:gd name="T0" fmla="*/ 940 w 940"/>
            <a:gd name="T1" fmla="*/ 28 h 125"/>
            <a:gd name="T2" fmla="*/ 940 w 940"/>
            <a:gd name="T3" fmla="*/ 125 h 125"/>
            <a:gd name="T4" fmla="*/ 0 w 940"/>
            <a:gd name="T5" fmla="*/ 123 h 125"/>
            <a:gd name="T6" fmla="*/ 1 w 940"/>
            <a:gd name="T7" fmla="*/ 0 h 12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0" t="0" r="r" b="b"/>
          <a:pathLst>
            <a:path w="940" h="125">
              <a:moveTo>
                <a:pt x="940" y="28"/>
              </a:moveTo>
              <a:lnTo>
                <a:pt x="940" y="125"/>
              </a:lnTo>
              <a:lnTo>
                <a:pt x="0" y="123"/>
              </a:lnTo>
              <a:lnTo>
                <a:pt x="1" y="0"/>
              </a:lnTo>
            </a:path>
          </a:pathLst>
        </a:custGeom>
        <a:noFill/>
        <a:ln w="38100" cmpd="sng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2</xdr:col>
      <xdr:colOff>482600</xdr:colOff>
      <xdr:row>110</xdr:row>
      <xdr:rowOff>76200</xdr:rowOff>
    </xdr:from>
    <xdr:to>
      <xdr:col>2</xdr:col>
      <xdr:colOff>508000</xdr:colOff>
      <xdr:row>132</xdr:row>
      <xdr:rowOff>101600</xdr:rowOff>
    </xdr:to>
    <xdr:sp macro="" textlink="">
      <xdr:nvSpPr>
        <xdr:cNvPr id="17430" name="Line 22"/>
        <xdr:cNvSpPr>
          <a:spLocks noChangeShapeType="1"/>
        </xdr:cNvSpPr>
      </xdr:nvSpPr>
      <xdr:spPr bwMode="auto">
        <a:xfrm flipH="1">
          <a:off x="1828800" y="20269200"/>
          <a:ext cx="25400" cy="421640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3</xdr:col>
      <xdr:colOff>190500</xdr:colOff>
      <xdr:row>111</xdr:row>
      <xdr:rowOff>12700</xdr:rowOff>
    </xdr:from>
    <xdr:to>
      <xdr:col>11</xdr:col>
      <xdr:colOff>50800</xdr:colOff>
      <xdr:row>141</xdr:row>
      <xdr:rowOff>177800</xdr:rowOff>
    </xdr:to>
    <xdr:sp macro="" textlink="">
      <xdr:nvSpPr>
        <xdr:cNvPr id="17431" name="Freeform 23"/>
        <xdr:cNvSpPr>
          <a:spLocks/>
        </xdr:cNvSpPr>
      </xdr:nvSpPr>
      <xdr:spPr bwMode="auto">
        <a:xfrm>
          <a:off x="2209800" y="20396200"/>
          <a:ext cx="4889500" cy="5880100"/>
        </a:xfrm>
        <a:custGeom>
          <a:avLst/>
          <a:gdLst>
            <a:gd name="T0" fmla="*/ 523 w 523"/>
            <a:gd name="T1" fmla="*/ 0 h 679"/>
            <a:gd name="T2" fmla="*/ 221 w 523"/>
            <a:gd name="T3" fmla="*/ 631 h 679"/>
            <a:gd name="T4" fmla="*/ 0 w 523"/>
            <a:gd name="T5" fmla="*/ 679 h 67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523" h="679">
              <a:moveTo>
                <a:pt x="523" y="0"/>
              </a:moveTo>
              <a:lnTo>
                <a:pt x="221" y="631"/>
              </a:lnTo>
              <a:lnTo>
                <a:pt x="0" y="679"/>
              </a:lnTo>
            </a:path>
          </a:pathLst>
        </a:custGeom>
        <a:noFill/>
        <a:ln w="38100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oneCellAnchor>
    <xdr:from>
      <xdr:col>6</xdr:col>
      <xdr:colOff>266700</xdr:colOff>
      <xdr:row>122</xdr:row>
      <xdr:rowOff>25400</xdr:rowOff>
    </xdr:from>
    <xdr:ext cx="5185833" cy="224366"/>
    <xdr:sp macro="" textlink="">
      <xdr:nvSpPr>
        <xdr:cNvPr id="17432" name="Text Box 24"/>
        <xdr:cNvSpPr txBox="1">
          <a:spLocks noChangeArrowheads="1"/>
        </xdr:cNvSpPr>
      </xdr:nvSpPr>
      <xdr:spPr bwMode="auto">
        <a:xfrm>
          <a:off x="4305300" y="22504400"/>
          <a:ext cx="5143500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9144" tIns="22860" rIns="0" bIns="0" anchor="t" upright="1">
          <a:spAutoFit/>
        </a:bodyPr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使用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[Fn]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寄信給負責人功能，會將點選位置所屬行的工作簡要說明附到信件裡</a:t>
          </a:r>
        </a:p>
      </xdr:txBody>
    </xdr:sp>
    <xdr:clientData/>
  </xdr:oneCellAnchor>
  <xdr:oneCellAnchor>
    <xdr:from>
      <xdr:col>3</xdr:col>
      <xdr:colOff>228600</xdr:colOff>
      <xdr:row>114</xdr:row>
      <xdr:rowOff>101600</xdr:rowOff>
    </xdr:from>
    <xdr:ext cx="4591017" cy="207749"/>
    <xdr:sp macro="" textlink="">
      <xdr:nvSpPr>
        <xdr:cNvPr id="17433" name="Text Box 25"/>
        <xdr:cNvSpPr txBox="1">
          <a:spLocks noChangeArrowheads="1"/>
        </xdr:cNvSpPr>
      </xdr:nvSpPr>
      <xdr:spPr bwMode="auto">
        <a:xfrm>
          <a:off x="2260600" y="20590933"/>
          <a:ext cx="4591017" cy="20774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9144" tIns="22860" rIns="0" bIns="0" anchor="t" upright="1">
          <a:spAutoFit/>
        </a:bodyPr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若工作的負責人和簡稱有相同，則在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Mail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通知時會自動套用為收信者</a:t>
          </a:r>
        </a:p>
      </xdr:txBody>
    </xdr:sp>
    <xdr:clientData/>
  </xdr:oneCellAnchor>
  <xdr:oneCellAnchor>
    <xdr:from>
      <xdr:col>2</xdr:col>
      <xdr:colOff>25400</xdr:colOff>
      <xdr:row>121</xdr:row>
      <xdr:rowOff>152400</xdr:rowOff>
    </xdr:from>
    <xdr:ext cx="2501900" cy="220133"/>
    <xdr:sp macro="" textlink="">
      <xdr:nvSpPr>
        <xdr:cNvPr id="17434" name="Text Box 26"/>
        <xdr:cNvSpPr txBox="1">
          <a:spLocks noChangeArrowheads="1"/>
        </xdr:cNvSpPr>
      </xdr:nvSpPr>
      <xdr:spPr bwMode="auto">
        <a:xfrm>
          <a:off x="1371600" y="22440900"/>
          <a:ext cx="2489200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C99FF" mc:Ignorable="a14" a14:legacySpreadsheetColorIndex="46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9144" tIns="22860" rIns="0" bIns="0" anchor="t" upright="1">
          <a:spAutoFit/>
        </a:bodyPr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因為有兩個簡稱，就將兩個信箱加入</a:t>
          </a:r>
        </a:p>
      </xdr:txBody>
    </xdr:sp>
    <xdr:clientData/>
  </xdr:oneCellAnchor>
  <xdr:twoCellAnchor>
    <xdr:from>
      <xdr:col>9</xdr:col>
      <xdr:colOff>558800</xdr:colOff>
      <xdr:row>73</xdr:row>
      <xdr:rowOff>177800</xdr:rowOff>
    </xdr:from>
    <xdr:to>
      <xdr:col>10</xdr:col>
      <xdr:colOff>12700</xdr:colOff>
      <xdr:row>76</xdr:row>
      <xdr:rowOff>177800</xdr:rowOff>
    </xdr:to>
    <xdr:sp macro="" textlink="">
      <xdr:nvSpPr>
        <xdr:cNvPr id="17435" name="AutoShape 27"/>
        <xdr:cNvSpPr>
          <a:spLocks/>
        </xdr:cNvSpPr>
      </xdr:nvSpPr>
      <xdr:spPr bwMode="auto">
        <a:xfrm>
          <a:off x="6616700" y="13322300"/>
          <a:ext cx="127000" cy="571500"/>
        </a:xfrm>
        <a:prstGeom prst="leftBrace">
          <a:avLst>
            <a:gd name="adj1" fmla="val 37500"/>
            <a:gd name="adj2" fmla="val 50000"/>
          </a:avLst>
        </a:prstGeom>
        <a:noFill/>
        <a:ln w="38100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12</xdr:col>
      <xdr:colOff>0</xdr:colOff>
      <xdr:row>94</xdr:row>
      <xdr:rowOff>63500</xdr:rowOff>
    </xdr:from>
    <xdr:to>
      <xdr:col>18</xdr:col>
      <xdr:colOff>190500</xdr:colOff>
      <xdr:row>94</xdr:row>
      <xdr:rowOff>63500</xdr:rowOff>
    </xdr:to>
    <xdr:sp macro="" textlink="">
      <xdr:nvSpPr>
        <xdr:cNvPr id="17436" name="Line 28"/>
        <xdr:cNvSpPr>
          <a:spLocks noChangeShapeType="1"/>
        </xdr:cNvSpPr>
      </xdr:nvSpPr>
      <xdr:spPr bwMode="auto">
        <a:xfrm>
          <a:off x="7378700" y="17208500"/>
          <a:ext cx="42291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12</xdr:col>
      <xdr:colOff>546100</xdr:colOff>
      <xdr:row>94</xdr:row>
      <xdr:rowOff>101600</xdr:rowOff>
    </xdr:from>
    <xdr:to>
      <xdr:col>13</xdr:col>
      <xdr:colOff>88900</xdr:colOff>
      <xdr:row>95</xdr:row>
      <xdr:rowOff>101600</xdr:rowOff>
    </xdr:to>
    <xdr:sp macro="" textlink="">
      <xdr:nvSpPr>
        <xdr:cNvPr id="17437" name="AutoShape 29"/>
        <xdr:cNvSpPr>
          <a:spLocks noChangeArrowheads="1"/>
        </xdr:cNvSpPr>
      </xdr:nvSpPr>
      <xdr:spPr bwMode="auto">
        <a:xfrm>
          <a:off x="7924800" y="17246600"/>
          <a:ext cx="215900" cy="190500"/>
        </a:xfrm>
        <a:prstGeom prst="flowChartExtra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oneCellAnchor>
    <xdr:from>
      <xdr:col>12</xdr:col>
      <xdr:colOff>482600</xdr:colOff>
      <xdr:row>95</xdr:row>
      <xdr:rowOff>63500</xdr:rowOff>
    </xdr:from>
    <xdr:ext cx="1011767" cy="423333"/>
    <xdr:sp macro="" textlink="">
      <xdr:nvSpPr>
        <xdr:cNvPr id="17438" name="Text Box 30"/>
        <xdr:cNvSpPr txBox="1">
          <a:spLocks noChangeArrowheads="1"/>
        </xdr:cNvSpPr>
      </xdr:nvSpPr>
      <xdr:spPr bwMode="auto">
        <a:xfrm>
          <a:off x="7861300" y="17399000"/>
          <a:ext cx="1003300" cy="431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9144" tIns="22860" rIns="0" bIns="0" anchor="t" upright="1">
          <a:spAutoFit/>
        </a:bodyPr>
        <a:lstStyle/>
        <a:p>
          <a:pPr algn="l" rtl="0">
            <a:lnSpc>
              <a:spcPts val="1600"/>
            </a:lnSpc>
            <a:defRPr sz="1000"/>
          </a:pPr>
          <a:r>
            <a:rPr lang="zh-CHT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專案開始月份</a:t>
          </a:r>
        </a:p>
        <a:p>
          <a:pPr algn="l" rtl="0">
            <a:defRPr sz="1000"/>
          </a:pPr>
          <a:r>
            <a:rPr lang="en-US" altLang="zh-CHT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EX:2007/1/x,</a:t>
          </a:r>
        </a:p>
      </xdr:txBody>
    </xdr:sp>
    <xdr:clientData/>
  </xdr:oneCellAnchor>
  <xdr:twoCellAnchor>
    <xdr:from>
      <xdr:col>12</xdr:col>
      <xdr:colOff>660400</xdr:colOff>
      <xdr:row>92</xdr:row>
      <xdr:rowOff>165100</xdr:rowOff>
    </xdr:from>
    <xdr:to>
      <xdr:col>16</xdr:col>
      <xdr:colOff>266700</xdr:colOff>
      <xdr:row>93</xdr:row>
      <xdr:rowOff>114300</xdr:rowOff>
    </xdr:to>
    <xdr:sp macro="" textlink="">
      <xdr:nvSpPr>
        <xdr:cNvPr id="17439" name="AutoShape 31"/>
        <xdr:cNvSpPr>
          <a:spLocks/>
        </xdr:cNvSpPr>
      </xdr:nvSpPr>
      <xdr:spPr bwMode="auto">
        <a:xfrm rot="16200000">
          <a:off x="9118600" y="15849600"/>
          <a:ext cx="139700" cy="2298700"/>
        </a:xfrm>
        <a:prstGeom prst="rightBrace">
          <a:avLst>
            <a:gd name="adj1" fmla="val 137121"/>
            <a:gd name="adj2" fmla="val 5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11</xdr:col>
      <xdr:colOff>292100</xdr:colOff>
      <xdr:row>100</xdr:row>
      <xdr:rowOff>12700</xdr:rowOff>
    </xdr:from>
    <xdr:to>
      <xdr:col>18</xdr:col>
      <xdr:colOff>152400</xdr:colOff>
      <xdr:row>100</xdr:row>
      <xdr:rowOff>12700</xdr:rowOff>
    </xdr:to>
    <xdr:sp macro="" textlink="">
      <xdr:nvSpPr>
        <xdr:cNvPr id="17440" name="Line 32"/>
        <xdr:cNvSpPr>
          <a:spLocks noChangeShapeType="1"/>
        </xdr:cNvSpPr>
      </xdr:nvSpPr>
      <xdr:spPr bwMode="auto">
        <a:xfrm>
          <a:off x="7340600" y="18300700"/>
          <a:ext cx="42291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333399" mc:Ignorable="a14" a14:legacySpreadsheetColorIndex="62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oneCellAnchor>
    <xdr:from>
      <xdr:col>13</xdr:col>
      <xdr:colOff>584200</xdr:colOff>
      <xdr:row>91</xdr:row>
      <xdr:rowOff>0</xdr:rowOff>
    </xdr:from>
    <xdr:ext cx="2353733" cy="410633"/>
    <xdr:sp macro="" textlink="">
      <xdr:nvSpPr>
        <xdr:cNvPr id="17441" name="Text Box 33"/>
        <xdr:cNvSpPr txBox="1">
          <a:spLocks noChangeArrowheads="1"/>
        </xdr:cNvSpPr>
      </xdr:nvSpPr>
      <xdr:spPr bwMode="auto">
        <a:xfrm>
          <a:off x="8636000" y="16573500"/>
          <a:ext cx="233680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339966"/>
              </a:solidFill>
              <a:latin typeface="新細明體"/>
              <a:ea typeface="新細明體"/>
              <a:cs typeface="新細明體"/>
            </a:rPr>
            <a:t>專案開始月份設定</a:t>
          </a:r>
        </a:p>
        <a:p>
          <a:pPr algn="l" rtl="0">
            <a:lnSpc>
              <a:spcPts val="1600"/>
            </a:lnSpc>
            <a:defRPr sz="1000"/>
          </a:pPr>
          <a:r>
            <a:rPr lang="zh-TW" altLang="en-US" sz="1200" b="0" i="0" u="none" strike="noStrike" baseline="0">
              <a:solidFill>
                <a:srgbClr val="339966"/>
              </a:solidFill>
              <a:latin typeface="新細明體"/>
              <a:ea typeface="新細明體"/>
              <a:cs typeface="新細明體"/>
            </a:rPr>
            <a:t>使已有自行繪圖區圖不會錯誤位移</a:t>
          </a:r>
        </a:p>
      </xdr:txBody>
    </xdr:sp>
    <xdr:clientData/>
  </xdr:oneCellAnchor>
  <xdr:twoCellAnchor>
    <xdr:from>
      <xdr:col>15</xdr:col>
      <xdr:colOff>482600</xdr:colOff>
      <xdr:row>100</xdr:row>
      <xdr:rowOff>38100</xdr:rowOff>
    </xdr:from>
    <xdr:to>
      <xdr:col>16</xdr:col>
      <xdr:colOff>25400</xdr:colOff>
      <xdr:row>101</xdr:row>
      <xdr:rowOff>38100</xdr:rowOff>
    </xdr:to>
    <xdr:sp macro="" textlink="">
      <xdr:nvSpPr>
        <xdr:cNvPr id="17442" name="AutoShape 34"/>
        <xdr:cNvSpPr>
          <a:spLocks noChangeArrowheads="1"/>
        </xdr:cNvSpPr>
      </xdr:nvSpPr>
      <xdr:spPr bwMode="auto">
        <a:xfrm>
          <a:off x="9880600" y="18326100"/>
          <a:ext cx="215900" cy="190500"/>
        </a:xfrm>
        <a:prstGeom prst="flowChartExtra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oneCellAnchor>
    <xdr:from>
      <xdr:col>15</xdr:col>
      <xdr:colOff>482600</xdr:colOff>
      <xdr:row>101</xdr:row>
      <xdr:rowOff>25400</xdr:rowOff>
    </xdr:from>
    <xdr:ext cx="410634" cy="224366"/>
    <xdr:sp macro="" textlink="">
      <xdr:nvSpPr>
        <xdr:cNvPr id="17443" name="Text Box 35"/>
        <xdr:cNvSpPr txBox="1">
          <a:spLocks noChangeArrowheads="1"/>
        </xdr:cNvSpPr>
      </xdr:nvSpPr>
      <xdr:spPr bwMode="auto">
        <a:xfrm>
          <a:off x="9880600" y="18503900"/>
          <a:ext cx="4064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今日</a:t>
          </a:r>
        </a:p>
      </xdr:txBody>
    </xdr:sp>
    <xdr:clientData/>
  </xdr:oneCellAnchor>
  <xdr:twoCellAnchor>
    <xdr:from>
      <xdr:col>13</xdr:col>
      <xdr:colOff>419100</xdr:colOff>
      <xdr:row>98</xdr:row>
      <xdr:rowOff>165100</xdr:rowOff>
    </xdr:from>
    <xdr:to>
      <xdr:col>15</xdr:col>
      <xdr:colOff>584200</xdr:colOff>
      <xdr:row>99</xdr:row>
      <xdr:rowOff>114300</xdr:rowOff>
    </xdr:to>
    <xdr:sp macro="" textlink="">
      <xdr:nvSpPr>
        <xdr:cNvPr id="17444" name="AutoShape 36"/>
        <xdr:cNvSpPr>
          <a:spLocks/>
        </xdr:cNvSpPr>
      </xdr:nvSpPr>
      <xdr:spPr bwMode="auto">
        <a:xfrm rot="16200000">
          <a:off x="9156700" y="17386300"/>
          <a:ext cx="139700" cy="1511300"/>
        </a:xfrm>
        <a:prstGeom prst="rightBrace">
          <a:avLst>
            <a:gd name="adj1" fmla="val 90152"/>
            <a:gd name="adj2" fmla="val 5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oneCellAnchor>
    <xdr:from>
      <xdr:col>14</xdr:col>
      <xdr:colOff>304800</xdr:colOff>
      <xdr:row>97</xdr:row>
      <xdr:rowOff>152400</xdr:rowOff>
    </xdr:from>
    <xdr:ext cx="1278467" cy="220133"/>
    <xdr:sp macro="" textlink="">
      <xdr:nvSpPr>
        <xdr:cNvPr id="17445" name="Text Box 37"/>
        <xdr:cNvSpPr txBox="1">
          <a:spLocks noChangeArrowheads="1"/>
        </xdr:cNvSpPr>
      </xdr:nvSpPr>
      <xdr:spPr bwMode="auto">
        <a:xfrm>
          <a:off x="9029700" y="17868900"/>
          <a:ext cx="127000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zh-CHT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回顧天數</a:t>
          </a:r>
          <a:r>
            <a:rPr lang="en-US" altLang="zh-CHT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,EX:14</a:t>
          </a:r>
          <a:r>
            <a:rPr lang="zh-CHT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天</a:t>
          </a:r>
        </a:p>
      </xdr:txBody>
    </xdr:sp>
    <xdr:clientData/>
  </xdr:oneCellAnchor>
  <xdr:twoCellAnchor editAs="oneCell">
    <xdr:from>
      <xdr:col>8</xdr:col>
      <xdr:colOff>546100</xdr:colOff>
      <xdr:row>95</xdr:row>
      <xdr:rowOff>114300</xdr:rowOff>
    </xdr:from>
    <xdr:to>
      <xdr:col>11</xdr:col>
      <xdr:colOff>241300</xdr:colOff>
      <xdr:row>98</xdr:row>
      <xdr:rowOff>152400</xdr:rowOff>
    </xdr:to>
    <xdr:sp macro="" textlink="">
      <xdr:nvSpPr>
        <xdr:cNvPr id="17446" name="Text Box 38"/>
        <xdr:cNvSpPr txBox="1">
          <a:spLocks noChangeArrowheads="1"/>
        </xdr:cNvSpPr>
      </xdr:nvSpPr>
      <xdr:spPr bwMode="auto">
        <a:xfrm>
          <a:off x="5930900" y="17449800"/>
          <a:ext cx="135890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FFCC00"/>
              </a:solidFill>
              <a:latin typeface="新細明體"/>
              <a:ea typeface="新細明體"/>
              <a:cs typeface="新細明體"/>
            </a:rPr>
            <a:t>當切換日別</a:t>
          </a:r>
          <a:r>
            <a:rPr lang="en-US" altLang="zh-TW" sz="1200" b="0" i="0" u="none" strike="noStrike" baseline="0">
              <a:solidFill>
                <a:srgbClr val="FFCC00"/>
              </a:solidFill>
              <a:latin typeface="新細明體"/>
              <a:ea typeface="新細明體"/>
              <a:cs typeface="新細明體"/>
            </a:rPr>
            <a:t>/</a:t>
          </a:r>
          <a:r>
            <a:rPr lang="zh-TW" altLang="en-US" sz="1200" b="0" i="0" u="none" strike="noStrike" baseline="0">
              <a:solidFill>
                <a:srgbClr val="FFCC00"/>
              </a:solidFill>
              <a:latin typeface="新細明體"/>
              <a:ea typeface="新細明體"/>
              <a:cs typeface="新細明體"/>
            </a:rPr>
            <a:t>週別檢視時，程式自動調整檢視</a:t>
          </a:r>
        </a:p>
      </xdr:txBody>
    </xdr:sp>
    <xdr:clientData/>
  </xdr:twoCellAnchor>
  <xdr:twoCellAnchor>
    <xdr:from>
      <xdr:col>8</xdr:col>
      <xdr:colOff>304800</xdr:colOff>
      <xdr:row>99</xdr:row>
      <xdr:rowOff>12700</xdr:rowOff>
    </xdr:from>
    <xdr:to>
      <xdr:col>11</xdr:col>
      <xdr:colOff>152400</xdr:colOff>
      <xdr:row>99</xdr:row>
      <xdr:rowOff>139700</xdr:rowOff>
    </xdr:to>
    <xdr:sp macro="" textlink="">
      <xdr:nvSpPr>
        <xdr:cNvPr id="17447" name="Line 39"/>
        <xdr:cNvSpPr>
          <a:spLocks noChangeShapeType="1"/>
        </xdr:cNvSpPr>
      </xdr:nvSpPr>
      <xdr:spPr bwMode="auto">
        <a:xfrm flipH="1" flipV="1">
          <a:off x="5689600" y="18110200"/>
          <a:ext cx="1511300" cy="12700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8</xdr:col>
      <xdr:colOff>292100</xdr:colOff>
      <xdr:row>94</xdr:row>
      <xdr:rowOff>76200</xdr:rowOff>
    </xdr:from>
    <xdr:to>
      <xdr:col>11</xdr:col>
      <xdr:colOff>177800</xdr:colOff>
      <xdr:row>95</xdr:row>
      <xdr:rowOff>38100</xdr:rowOff>
    </xdr:to>
    <xdr:sp macro="" textlink="">
      <xdr:nvSpPr>
        <xdr:cNvPr id="17448" name="Line 40"/>
        <xdr:cNvSpPr>
          <a:spLocks noChangeShapeType="1"/>
        </xdr:cNvSpPr>
      </xdr:nvSpPr>
      <xdr:spPr bwMode="auto">
        <a:xfrm flipH="1">
          <a:off x="5676900" y="17221200"/>
          <a:ext cx="1549400" cy="15240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0</xdr:col>
      <xdr:colOff>292100</xdr:colOff>
      <xdr:row>93</xdr:row>
      <xdr:rowOff>101600</xdr:rowOff>
    </xdr:from>
    <xdr:to>
      <xdr:col>8</xdr:col>
      <xdr:colOff>292100</xdr:colOff>
      <xdr:row>97</xdr:row>
      <xdr:rowOff>63500</xdr:rowOff>
    </xdr:to>
    <xdr:sp macro="" textlink="">
      <xdr:nvSpPr>
        <xdr:cNvPr id="17449" name="Rectangle 41"/>
        <xdr:cNvSpPr>
          <a:spLocks noChangeArrowheads="1"/>
        </xdr:cNvSpPr>
      </xdr:nvSpPr>
      <xdr:spPr bwMode="auto">
        <a:xfrm>
          <a:off x="292100" y="17056100"/>
          <a:ext cx="5384800" cy="723900"/>
        </a:xfrm>
        <a:prstGeom prst="rect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0</xdr:col>
      <xdr:colOff>330200</xdr:colOff>
      <xdr:row>97</xdr:row>
      <xdr:rowOff>76200</xdr:rowOff>
    </xdr:from>
    <xdr:to>
      <xdr:col>8</xdr:col>
      <xdr:colOff>330200</xdr:colOff>
      <xdr:row>100</xdr:row>
      <xdr:rowOff>25400</xdr:rowOff>
    </xdr:to>
    <xdr:sp macro="" textlink="">
      <xdr:nvSpPr>
        <xdr:cNvPr id="17450" name="Rectangle 42"/>
        <xdr:cNvSpPr>
          <a:spLocks noChangeArrowheads="1"/>
        </xdr:cNvSpPr>
      </xdr:nvSpPr>
      <xdr:spPr bwMode="auto">
        <a:xfrm>
          <a:off x="330200" y="17792700"/>
          <a:ext cx="5384800" cy="520700"/>
        </a:xfrm>
        <a:prstGeom prst="rect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FFCC00" mc:Ignorable="a14" a14:legacySpreadsheetColorIndex="5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8</xdr:col>
      <xdr:colOff>304800</xdr:colOff>
      <xdr:row>57</xdr:row>
      <xdr:rowOff>63500</xdr:rowOff>
    </xdr:from>
    <xdr:to>
      <xdr:col>15</xdr:col>
      <xdr:colOff>660400</xdr:colOff>
      <xdr:row>59</xdr:row>
      <xdr:rowOff>76200</xdr:rowOff>
    </xdr:to>
    <xdr:sp macro="" textlink="">
      <xdr:nvSpPr>
        <xdr:cNvPr id="17451" name="Freeform 43"/>
        <xdr:cNvSpPr>
          <a:spLocks/>
        </xdr:cNvSpPr>
      </xdr:nvSpPr>
      <xdr:spPr bwMode="auto">
        <a:xfrm>
          <a:off x="5689600" y="10160000"/>
          <a:ext cx="4368800" cy="393700"/>
        </a:xfrm>
        <a:custGeom>
          <a:avLst/>
          <a:gdLst>
            <a:gd name="T0" fmla="*/ 467 w 467"/>
            <a:gd name="T1" fmla="*/ 5 h 45"/>
            <a:gd name="T2" fmla="*/ 39 w 467"/>
            <a:gd name="T3" fmla="*/ 0 h 45"/>
            <a:gd name="T4" fmla="*/ 0 w 467"/>
            <a:gd name="T5" fmla="*/ 45 h 4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467" h="45">
              <a:moveTo>
                <a:pt x="467" y="5"/>
              </a:moveTo>
              <a:lnTo>
                <a:pt x="39" y="0"/>
              </a:lnTo>
              <a:lnTo>
                <a:pt x="0" y="45"/>
              </a:lnTo>
            </a:path>
          </a:pathLst>
        </a:custGeom>
        <a:noFill/>
        <a:ln w="38100" cmpd="sng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8</xdr:col>
      <xdr:colOff>266700</xdr:colOff>
      <xdr:row>61</xdr:row>
      <xdr:rowOff>63500</xdr:rowOff>
    </xdr:from>
    <xdr:to>
      <xdr:col>17</xdr:col>
      <xdr:colOff>12700</xdr:colOff>
      <xdr:row>64</xdr:row>
      <xdr:rowOff>76200</xdr:rowOff>
    </xdr:to>
    <xdr:sp macro="" textlink="">
      <xdr:nvSpPr>
        <xdr:cNvPr id="17452" name="Freeform 44"/>
        <xdr:cNvSpPr>
          <a:spLocks/>
        </xdr:cNvSpPr>
      </xdr:nvSpPr>
      <xdr:spPr bwMode="auto">
        <a:xfrm>
          <a:off x="5651500" y="10922000"/>
          <a:ext cx="5105400" cy="584200"/>
        </a:xfrm>
        <a:custGeom>
          <a:avLst/>
          <a:gdLst>
            <a:gd name="T0" fmla="*/ 544 w 544"/>
            <a:gd name="T1" fmla="*/ 67 h 67"/>
            <a:gd name="T2" fmla="*/ 157 w 544"/>
            <a:gd name="T3" fmla="*/ 49 h 67"/>
            <a:gd name="T4" fmla="*/ 76 w 544"/>
            <a:gd name="T5" fmla="*/ 0 h 67"/>
            <a:gd name="T6" fmla="*/ 0 w 544"/>
            <a:gd name="T7" fmla="*/ 3 h 6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0" t="0" r="r" b="b"/>
          <a:pathLst>
            <a:path w="544" h="67">
              <a:moveTo>
                <a:pt x="544" y="67"/>
              </a:moveTo>
              <a:lnTo>
                <a:pt x="157" y="49"/>
              </a:lnTo>
              <a:lnTo>
                <a:pt x="76" y="0"/>
              </a:lnTo>
              <a:lnTo>
                <a:pt x="0" y="3"/>
              </a:lnTo>
            </a:path>
          </a:pathLst>
        </a:custGeom>
        <a:noFill/>
        <a:ln w="38100" cap="flat" cmpd="sng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prstDash val="solid"/>
          <a:round/>
          <a:headEnd type="none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63500"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 editAs="oneCell">
    <xdr:from>
      <xdr:col>11</xdr:col>
      <xdr:colOff>304800</xdr:colOff>
      <xdr:row>100</xdr:row>
      <xdr:rowOff>12700</xdr:rowOff>
    </xdr:from>
    <xdr:to>
      <xdr:col>14</xdr:col>
      <xdr:colOff>584200</xdr:colOff>
      <xdr:row>102</xdr:row>
      <xdr:rowOff>114300</xdr:rowOff>
    </xdr:to>
    <xdr:sp macro="" textlink="">
      <xdr:nvSpPr>
        <xdr:cNvPr id="17454" name="Text Box 46"/>
        <xdr:cNvSpPr txBox="1">
          <a:spLocks noChangeArrowheads="1"/>
        </xdr:cNvSpPr>
      </xdr:nvSpPr>
      <xdr:spPr bwMode="auto">
        <a:xfrm>
          <a:off x="7353300" y="18300700"/>
          <a:ext cx="1955800" cy="482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lnSpc>
              <a:spcPts val="1600"/>
            </a:lnSpc>
            <a:defRPr sz="1000"/>
          </a:pPr>
          <a:r>
            <a:rPr lang="zh-TW" altLang="en-US" sz="1200" b="0" i="0" u="none" strike="noStrike" baseline="0">
              <a:solidFill>
                <a:srgbClr val="339966"/>
              </a:solidFill>
              <a:latin typeface="新細明體"/>
              <a:ea typeface="新細明體"/>
              <a:cs typeface="新細明體"/>
            </a:rPr>
            <a:t>因電腦銀幕大小有限，以此方式減少移動畫面的操作</a:t>
          </a:r>
        </a:p>
      </xdr:txBody>
    </xdr:sp>
    <xdr:clientData/>
  </xdr:twoCellAnchor>
  <xdr:twoCellAnchor editAs="oneCell">
    <xdr:from>
      <xdr:col>1</xdr:col>
      <xdr:colOff>12700</xdr:colOff>
      <xdr:row>8</xdr:row>
      <xdr:rowOff>38100</xdr:rowOff>
    </xdr:from>
    <xdr:to>
      <xdr:col>9</xdr:col>
      <xdr:colOff>165100</xdr:colOff>
      <xdr:row>27</xdr:row>
      <xdr:rowOff>127000</xdr:rowOff>
    </xdr:to>
    <xdr:pic>
      <xdr:nvPicPr>
        <xdr:cNvPr id="17468" name="Picture 60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800100"/>
          <a:ext cx="5537200" cy="3708400"/>
        </a:xfrm>
        <a:prstGeom prst="rect">
          <a:avLst/>
        </a:prstGeom>
        <a:noFill/>
        <a:ln w="0">
          <a:solidFill>
            <a:srgbClr xmlns:mc="http://schemas.openxmlformats.org/markup-compatibility/2006" xmlns:a14="http://schemas.microsoft.com/office/drawing/2010/main" val="900000" mc:Ignorable="a14" a14:legacySpreadsheetColorIndex="16"/>
          </a:solidFill>
          <a:miter lim="800000"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</xdr:pic>
    <xdr:clientData/>
  </xdr:twoCellAnchor>
  <xdr:twoCellAnchor>
    <xdr:from>
      <xdr:col>7</xdr:col>
      <xdr:colOff>190500</xdr:colOff>
      <xdr:row>9</xdr:row>
      <xdr:rowOff>101600</xdr:rowOff>
    </xdr:from>
    <xdr:to>
      <xdr:col>10</xdr:col>
      <xdr:colOff>12700</xdr:colOff>
      <xdr:row>10</xdr:row>
      <xdr:rowOff>177800</xdr:rowOff>
    </xdr:to>
    <xdr:sp macro="" textlink="">
      <xdr:nvSpPr>
        <xdr:cNvPr id="17469" name="Freeform 61"/>
        <xdr:cNvSpPr>
          <a:spLocks/>
        </xdr:cNvSpPr>
      </xdr:nvSpPr>
      <xdr:spPr bwMode="auto">
        <a:xfrm>
          <a:off x="4902200" y="1054100"/>
          <a:ext cx="1841500" cy="266700"/>
        </a:xfrm>
        <a:custGeom>
          <a:avLst/>
          <a:gdLst>
            <a:gd name="T0" fmla="*/ 197 w 197"/>
            <a:gd name="T1" fmla="*/ 1 h 32"/>
            <a:gd name="T2" fmla="*/ 105 w 197"/>
            <a:gd name="T3" fmla="*/ 0 h 32"/>
            <a:gd name="T4" fmla="*/ 105 w 197"/>
            <a:gd name="T5" fmla="*/ 32 h 32"/>
            <a:gd name="T6" fmla="*/ 0 w 197"/>
            <a:gd name="T7" fmla="*/ 32 h 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0" t="0" r="r" b="b"/>
          <a:pathLst>
            <a:path w="197" h="32">
              <a:moveTo>
                <a:pt x="197" y="1"/>
              </a:moveTo>
              <a:lnTo>
                <a:pt x="105" y="0"/>
              </a:lnTo>
              <a:lnTo>
                <a:pt x="105" y="32"/>
              </a:lnTo>
              <a:lnTo>
                <a:pt x="0" y="32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4</xdr:col>
      <xdr:colOff>457200</xdr:colOff>
      <xdr:row>16</xdr:row>
      <xdr:rowOff>63500</xdr:rowOff>
    </xdr:from>
    <xdr:to>
      <xdr:col>9</xdr:col>
      <xdr:colOff>660400</xdr:colOff>
      <xdr:row>21</xdr:row>
      <xdr:rowOff>76200</xdr:rowOff>
    </xdr:to>
    <xdr:sp macro="" textlink="">
      <xdr:nvSpPr>
        <xdr:cNvPr id="17480" name="Freeform 72"/>
        <xdr:cNvSpPr>
          <a:spLocks/>
        </xdr:cNvSpPr>
      </xdr:nvSpPr>
      <xdr:spPr bwMode="auto">
        <a:xfrm>
          <a:off x="3149600" y="2349500"/>
          <a:ext cx="3568700" cy="965200"/>
        </a:xfrm>
        <a:custGeom>
          <a:avLst/>
          <a:gdLst>
            <a:gd name="T0" fmla="*/ 382 w 382"/>
            <a:gd name="T1" fmla="*/ 94 h 112"/>
            <a:gd name="T2" fmla="*/ 299 w 382"/>
            <a:gd name="T3" fmla="*/ 112 h 112"/>
            <a:gd name="T4" fmla="*/ 32 w 382"/>
            <a:gd name="T5" fmla="*/ 104 h 112"/>
            <a:gd name="T6" fmla="*/ 0 w 382"/>
            <a:gd name="T7" fmla="*/ 0 h 11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0" t="0" r="r" b="b"/>
          <a:pathLst>
            <a:path w="382" h="112">
              <a:moveTo>
                <a:pt x="382" y="94"/>
              </a:moveTo>
              <a:lnTo>
                <a:pt x="299" y="112"/>
              </a:lnTo>
              <a:lnTo>
                <a:pt x="32" y="104"/>
              </a:lnTo>
              <a:lnTo>
                <a:pt x="0" y="0"/>
              </a:lnTo>
            </a:path>
          </a:pathLst>
        </a:custGeom>
        <a:noFill/>
        <a:ln w="9525" cap="flat" cmpd="sng">
          <a:solidFill>
            <a:srgbClr xmlns:mc="http://schemas.openxmlformats.org/markup-compatibility/2006" xmlns:a14="http://schemas.microsoft.com/office/drawing/2010/main" val="FF9900" mc:Ignorable="a14" a14:legacySpreadsheetColorIndex="52"/>
          </a:solidFill>
          <a:prstDash val="solid"/>
          <a:round/>
          <a:headEnd type="oval" w="med" len="med"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blurRad="63500"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3</xdr:row>
      <xdr:rowOff>0</xdr:rowOff>
    </xdr:from>
    <xdr:to>
      <xdr:col>1</xdr:col>
      <xdr:colOff>469900</xdr:colOff>
      <xdr:row>5</xdr:row>
      <xdr:rowOff>25400</xdr:rowOff>
    </xdr:to>
    <xdr:pic>
      <xdr:nvPicPr>
        <xdr:cNvPr id="1414" name="CommandButton6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4500" y="381000"/>
          <a:ext cx="457200" cy="21590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pic>
    <xdr:clientData/>
  </xdr:twoCellAnchor>
  <xdr:twoCellAnchor>
    <xdr:from>
      <xdr:col>26</xdr:col>
      <xdr:colOff>114300</xdr:colOff>
      <xdr:row>7</xdr:row>
      <xdr:rowOff>12700</xdr:rowOff>
    </xdr:from>
    <xdr:to>
      <xdr:col>26</xdr:col>
      <xdr:colOff>114300</xdr:colOff>
      <xdr:row>17</xdr:row>
      <xdr:rowOff>0</xdr:rowOff>
    </xdr:to>
    <xdr:sp macro="" textlink="">
      <xdr:nvSpPr>
        <xdr:cNvPr id="1510" name="Line 486"/>
        <xdr:cNvSpPr>
          <a:spLocks noChangeShapeType="1"/>
        </xdr:cNvSpPr>
      </xdr:nvSpPr>
      <xdr:spPr bwMode="auto">
        <a:xfrm flipH="1">
          <a:off x="9207500" y="965200"/>
          <a:ext cx="0" cy="2120900"/>
        </a:xfrm>
        <a:prstGeom prst="line">
          <a:avLst/>
        </a:prstGeom>
        <a:noFill/>
        <a:ln w="38100" cmpd="dbl">
          <a:solidFill>
            <a:srgbClr xmlns:mc="http://schemas.openxmlformats.org/markup-compatibility/2006" xmlns:a14="http://schemas.microsoft.com/office/drawing/2010/main" val="DD0806" mc:Ignorable="a14" a14:legacySpreadsheetColorIndex="1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  <xdr:txBody>
        <a:bodyPr rtlCol="0"/>
        <a:lstStyle/>
        <a:p>
          <a:pPr algn="ctr"/>
          <a:endParaRPr lang="zh-TW" altLang="en-US"/>
        </a:p>
      </xdr:txBody>
    </xdr:sp>
    <xdr:clientData/>
  </xdr:twoCellAnchor>
  <xdr:twoCellAnchor>
    <xdr:from>
      <xdr:col>27</xdr:col>
      <xdr:colOff>190500</xdr:colOff>
      <xdr:row>10</xdr:row>
      <xdr:rowOff>63500</xdr:rowOff>
    </xdr:from>
    <xdr:to>
      <xdr:col>40</xdr:col>
      <xdr:colOff>0</xdr:colOff>
      <xdr:row>17</xdr:row>
      <xdr:rowOff>0</xdr:rowOff>
    </xdr:to>
    <xdr:sp macro="" textlink="">
      <xdr:nvSpPr>
        <xdr:cNvPr id="1511" name="AutoShape 487"/>
        <xdr:cNvSpPr>
          <a:spLocks noChangeArrowheads="1"/>
        </xdr:cNvSpPr>
      </xdr:nvSpPr>
      <xdr:spPr bwMode="auto">
        <a:xfrm>
          <a:off x="9486900" y="1816100"/>
          <a:ext cx="2451100" cy="1270000"/>
        </a:xfrm>
        <a:prstGeom prst="wedgeRoundRectCallout">
          <a:avLst>
            <a:gd name="adj1" fmla="val -60528"/>
            <a:gd name="adj2" fmla="val -26870"/>
            <a:gd name="adj3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EA746" mc:Ignorable="a14" a14:legacySpreadsheetColorIndex="29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此紅線方便區分今日。</a:t>
          </a:r>
        </a:p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如果有進行</a:t>
          </a:r>
        </a:p>
        <a:p>
          <a:pPr algn="l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(1)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格式調整</a:t>
          </a:r>
        </a:p>
        <a:p>
          <a:pPr algn="l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(2)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日檢視往前檢視天數改變</a:t>
          </a:r>
        </a:p>
        <a:p>
          <a:pPr algn="l" rtl="0">
            <a:defRPr sz="1000"/>
          </a:pPr>
          <a:r>
            <a:rPr lang="zh-TW" altLang="en-US" sz="1200" b="1" i="0" u="sng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請自行進行此線條的調整</a:t>
          </a:r>
        </a:p>
      </xdr:txBody>
    </xdr:sp>
    <xdr:clientData/>
  </xdr:twoCellAnchor>
  <xdr:oneCellAnchor>
    <xdr:from>
      <xdr:col>0</xdr:col>
      <xdr:colOff>152400</xdr:colOff>
      <xdr:row>17</xdr:row>
      <xdr:rowOff>177800</xdr:rowOff>
    </xdr:from>
    <xdr:ext cx="4984954" cy="1500411"/>
    <xdr:sp macro="" textlink="">
      <xdr:nvSpPr>
        <xdr:cNvPr id="1590" name="Text Box 566"/>
        <xdr:cNvSpPr txBox="1">
          <a:spLocks noChangeArrowheads="1"/>
        </xdr:cNvSpPr>
      </xdr:nvSpPr>
      <xdr:spPr bwMode="auto">
        <a:xfrm>
          <a:off x="152400" y="3389086"/>
          <a:ext cx="4984954" cy="150041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EA746" mc:Ignorable="a14" a14:legacySpreadsheetColorIndex="29"/>
          </a:solidFill>
          <a:miter lim="800000"/>
          <a:headEnd/>
          <a:tailEnd/>
        </a:ln>
      </xdr:spPr>
      <xdr:txBody>
        <a:bodyPr wrap="none" lIns="9144" tIns="22860" rIns="0" bIns="0" anchor="t" upright="1">
          <a:spAutoFit/>
        </a:bodyPr>
        <a:lstStyle/>
        <a:p>
          <a:pPr algn="l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★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列數不足時，請依照下列步驟新增列數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:</a:t>
          </a:r>
        </a:p>
        <a:p>
          <a:pPr algn="l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1.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選取最後一列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→2.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複製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→3.→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插入複製的儲存格      </a:t>
          </a:r>
        </a:p>
        <a:p>
          <a:pPr algn="l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★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想要將工作項目顯示地有大綱？</a:t>
          </a:r>
        </a:p>
        <a:p>
          <a:pPr algn="l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1.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由使用者自行使用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[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資料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]\[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群組及大綱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]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可以進行設定</a:t>
          </a:r>
        </a:p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   或是配合使用縮排格式使工作項目顯示綱要</a:t>
          </a:r>
        </a:p>
        <a:p>
          <a:pPr algn="l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★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其他注意事項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:</a:t>
          </a:r>
        </a:p>
        <a:p>
          <a:pPr algn="l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1.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若要從其他檔案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copy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資料進來時，請使用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:  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編輯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→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選擇性貼上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→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貼上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→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值</a:t>
          </a:r>
        </a:p>
        <a:p>
          <a:pPr algn="l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{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此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Notes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可刪除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}</a:t>
          </a:r>
        </a:p>
      </xdr:txBody>
    </xdr:sp>
    <xdr:clientData/>
  </xdr:oneCellAnchor>
  <xdr:oneCellAnchor>
    <xdr:from>
      <xdr:col>1</xdr:col>
      <xdr:colOff>584200</xdr:colOff>
      <xdr:row>27</xdr:row>
      <xdr:rowOff>25400</xdr:rowOff>
    </xdr:from>
    <xdr:ext cx="3833147" cy="577081"/>
    <xdr:sp macro="" textlink="">
      <xdr:nvSpPr>
        <xdr:cNvPr id="1608" name="AutoShape 584"/>
        <xdr:cNvSpPr>
          <a:spLocks/>
        </xdr:cNvSpPr>
      </xdr:nvSpPr>
      <xdr:spPr bwMode="auto">
        <a:xfrm>
          <a:off x="1019629" y="5232400"/>
          <a:ext cx="3833147" cy="577081"/>
        </a:xfrm>
        <a:prstGeom prst="borderCallout2">
          <a:avLst>
            <a:gd name="adj1" fmla="val 17144"/>
            <a:gd name="adj2" fmla="val 102019"/>
            <a:gd name="adj3" fmla="val 17144"/>
            <a:gd name="adj4" fmla="val 116412"/>
            <a:gd name="adj5" fmla="val -668569"/>
            <a:gd name="adj6" fmla="val 131565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EA746" mc:Ignorable="a14" a14:legacySpreadsheetColorIndex="29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xdr:spPr>
      <xdr:txBody>
        <a:bodyPr wrap="none" lIns="9144" tIns="22860" rIns="0" bIns="0" anchor="t" upright="1">
          <a:spAutoFit/>
        </a:bodyPr>
        <a:lstStyle/>
        <a:p>
          <a:pPr algn="l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★J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列功能</a:t>
          </a:r>
        </a:p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  數為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1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則不會將工作項匯入到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OUTLOO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行事曆及工作項目</a:t>
          </a:r>
        </a:p>
        <a:p>
          <a:pPr algn="l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{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此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Notes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可刪除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}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165100</xdr:colOff>
      <xdr:row>1</xdr:row>
      <xdr:rowOff>12700</xdr:rowOff>
    </xdr:from>
    <xdr:to>
      <xdr:col>10</xdr:col>
      <xdr:colOff>609600</xdr:colOff>
      <xdr:row>2</xdr:row>
      <xdr:rowOff>76200</xdr:rowOff>
    </xdr:to>
    <xdr:pic>
      <xdr:nvPicPr>
        <xdr:cNvPr id="8203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9800" y="203200"/>
          <a:ext cx="11176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177800</xdr:colOff>
      <xdr:row>3</xdr:row>
      <xdr:rowOff>12700</xdr:rowOff>
    </xdr:from>
    <xdr:to>
      <xdr:col>10</xdr:col>
      <xdr:colOff>622300</xdr:colOff>
      <xdr:row>4</xdr:row>
      <xdr:rowOff>76200</xdr:rowOff>
    </xdr:to>
    <xdr:pic>
      <xdr:nvPicPr>
        <xdr:cNvPr id="8204" name="CommandButton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02500" y="584200"/>
          <a:ext cx="1117600" cy="254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165100</xdr:colOff>
      <xdr:row>4</xdr:row>
      <xdr:rowOff>177800</xdr:rowOff>
    </xdr:from>
    <xdr:to>
      <xdr:col>10</xdr:col>
      <xdr:colOff>609600</xdr:colOff>
      <xdr:row>6</xdr:row>
      <xdr:rowOff>63500</xdr:rowOff>
    </xdr:to>
    <xdr:pic>
      <xdr:nvPicPr>
        <xdr:cNvPr id="8205" name="CommandButton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9800" y="939800"/>
          <a:ext cx="1117600" cy="2667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596900</xdr:colOff>
      <xdr:row>9</xdr:row>
      <xdr:rowOff>127000</xdr:rowOff>
    </xdr:from>
    <xdr:to>
      <xdr:col>4</xdr:col>
      <xdr:colOff>901700</xdr:colOff>
      <xdr:row>12</xdr:row>
      <xdr:rowOff>165100</xdr:rowOff>
    </xdr:to>
    <xdr:sp macro="" textlink="">
      <xdr:nvSpPr>
        <xdr:cNvPr id="11265" name="AutoShape 1"/>
        <xdr:cNvSpPr>
          <a:spLocks noChangeArrowheads="1"/>
        </xdr:cNvSpPr>
      </xdr:nvSpPr>
      <xdr:spPr bwMode="auto">
        <a:xfrm>
          <a:off x="3213100" y="1841500"/>
          <a:ext cx="2108200" cy="609600"/>
        </a:xfrm>
        <a:prstGeom prst="wedgeRectCallout">
          <a:avLst>
            <a:gd name="adj1" fmla="val -96986"/>
            <a:gd name="adj2" fmla="val -188181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EA746" mc:Ignorable="a14" a14:legacySpreadsheetColorIndex="29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若工作的負責人和簡稱有相同，則在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Mail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通知時會自動套用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.</a:t>
          </a:r>
        </a:p>
        <a:p>
          <a:pPr algn="l" rtl="0">
            <a:defRPr sz="1000"/>
          </a:pP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{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此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Notes</a:t>
          </a:r>
          <a:r>
            <a:rPr lang="zh-TW" altLang="en-US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可刪除</a:t>
          </a:r>
          <a:r>
            <a:rPr lang="en-US" altLang="zh-TW" sz="120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rPr>
            <a:t>}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>
    <tabColor indexed="42"/>
    <outlinePr summaryBelow="0"/>
  </sheetPr>
  <dimension ref="A1:R157"/>
  <sheetViews>
    <sheetView showGridLines="0" zoomScale="75" zoomScaleNormal="75" zoomScalePageLayoutView="75" workbookViewId="0">
      <selection activeCell="K27" sqref="K27"/>
    </sheetView>
  </sheetViews>
  <sheetFormatPr baseColWidth="10" defaultColWidth="8.83203125" defaultRowHeight="15" outlineLevelRow="1" x14ac:dyDescent="0"/>
  <cols>
    <col min="11" max="11" width="4.1640625" customWidth="1"/>
    <col min="12" max="12" width="4.33203125" customWidth="1"/>
  </cols>
  <sheetData>
    <row r="1" spans="1:11" s="75" customFormat="1">
      <c r="A1" s="69" t="s">
        <v>92</v>
      </c>
      <c r="B1" s="69"/>
      <c r="C1" s="69"/>
      <c r="D1" s="69"/>
      <c r="E1" s="69"/>
      <c r="F1" s="69"/>
      <c r="G1" s="69"/>
      <c r="H1" s="69"/>
      <c r="I1" s="69"/>
    </row>
    <row r="3" spans="1:11" collapsed="1">
      <c r="A3" t="s">
        <v>122</v>
      </c>
    </row>
    <row r="4" spans="1:11" hidden="1" outlineLevel="1">
      <c r="B4" t="s">
        <v>80</v>
      </c>
    </row>
    <row r="5" spans="1:11" hidden="1" outlineLevel="1">
      <c r="B5" t="s">
        <v>81</v>
      </c>
    </row>
    <row r="6" spans="1:11" hidden="1" outlineLevel="1">
      <c r="B6" t="s">
        <v>108</v>
      </c>
    </row>
    <row r="7" spans="1:11" hidden="1" outlineLevel="1">
      <c r="B7" t="s">
        <v>149</v>
      </c>
    </row>
    <row r="8" spans="1:11">
      <c r="B8" s="6" t="s">
        <v>147</v>
      </c>
    </row>
    <row r="10" spans="1:11">
      <c r="K10" t="s">
        <v>156</v>
      </c>
    </row>
    <row r="21" spans="1:12">
      <c r="K21" t="s">
        <v>154</v>
      </c>
    </row>
    <row r="22" spans="1:12">
      <c r="K22" t="s">
        <v>155</v>
      </c>
    </row>
    <row r="30" spans="1:12">
      <c r="A30" t="s">
        <v>93</v>
      </c>
    </row>
    <row r="32" spans="1:12">
      <c r="K32" s="72" t="s">
        <v>126</v>
      </c>
      <c r="L32" s="72"/>
    </row>
    <row r="33" spans="11:12">
      <c r="K33" s="73" t="s">
        <v>50</v>
      </c>
      <c r="L33" s="72" t="s">
        <v>127</v>
      </c>
    </row>
    <row r="34" spans="11:12">
      <c r="K34" s="73" t="s">
        <v>128</v>
      </c>
      <c r="L34" s="72" t="s">
        <v>107</v>
      </c>
    </row>
    <row r="35" spans="11:12">
      <c r="K35" s="72"/>
      <c r="L35" s="72" t="s">
        <v>97</v>
      </c>
    </row>
    <row r="36" spans="11:12">
      <c r="K36" s="72"/>
      <c r="L36" s="72" t="s">
        <v>98</v>
      </c>
    </row>
    <row r="37" spans="11:12">
      <c r="L37" s="72" t="s">
        <v>152</v>
      </c>
    </row>
    <row r="38" spans="11:12">
      <c r="L38" s="72" t="s">
        <v>153</v>
      </c>
    </row>
    <row r="39" spans="11:12">
      <c r="K39" s="73" t="s">
        <v>129</v>
      </c>
      <c r="L39" s="72" t="s">
        <v>130</v>
      </c>
    </row>
    <row r="40" spans="11:12">
      <c r="K40" s="72"/>
      <c r="L40" s="72" t="s">
        <v>131</v>
      </c>
    </row>
    <row r="41" spans="11:12">
      <c r="K41" s="73" t="s">
        <v>132</v>
      </c>
      <c r="L41" s="72" t="s">
        <v>133</v>
      </c>
    </row>
    <row r="50" spans="1:17">
      <c r="A50" t="s">
        <v>134</v>
      </c>
    </row>
    <row r="52" spans="1:17">
      <c r="K52" t="s">
        <v>87</v>
      </c>
    </row>
    <row r="53" spans="1:17">
      <c r="K53" t="s">
        <v>82</v>
      </c>
    </row>
    <row r="55" spans="1:17">
      <c r="K55" t="s">
        <v>89</v>
      </c>
    </row>
    <row r="56" spans="1:17">
      <c r="L56" t="s">
        <v>111</v>
      </c>
    </row>
    <row r="58" spans="1:17">
      <c r="Q58" t="s">
        <v>109</v>
      </c>
    </row>
    <row r="59" spans="1:17">
      <c r="K59" t="s">
        <v>90</v>
      </c>
      <c r="Q59" t="s">
        <v>110</v>
      </c>
    </row>
    <row r="60" spans="1:17">
      <c r="L60" t="s">
        <v>83</v>
      </c>
      <c r="Q60" t="s">
        <v>151</v>
      </c>
    </row>
    <row r="61" spans="1:17">
      <c r="M61" t="s">
        <v>84</v>
      </c>
      <c r="Q61" t="s">
        <v>150</v>
      </c>
    </row>
    <row r="62" spans="1:17">
      <c r="L62" t="s">
        <v>104</v>
      </c>
    </row>
    <row r="63" spans="1:17">
      <c r="M63" t="s">
        <v>85</v>
      </c>
    </row>
    <row r="65" spans="1:18">
      <c r="K65" t="s">
        <v>91</v>
      </c>
      <c r="R65" t="s">
        <v>112</v>
      </c>
    </row>
    <row r="66" spans="1:18">
      <c r="L66" t="s">
        <v>86</v>
      </c>
      <c r="R66" s="70" t="s">
        <v>113</v>
      </c>
    </row>
    <row r="67" spans="1:18">
      <c r="M67" t="s">
        <v>136</v>
      </c>
    </row>
    <row r="68" spans="1:18">
      <c r="L68" t="s">
        <v>144</v>
      </c>
    </row>
    <row r="69" spans="1:18">
      <c r="M69" t="s">
        <v>135</v>
      </c>
    </row>
    <row r="70" spans="1:18">
      <c r="K70" t="s">
        <v>145</v>
      </c>
    </row>
    <row r="72" spans="1:18">
      <c r="A72" t="s">
        <v>105</v>
      </c>
    </row>
    <row r="73" spans="1:18">
      <c r="B73" t="s">
        <v>99</v>
      </c>
    </row>
    <row r="75" spans="1:18">
      <c r="K75" t="s">
        <v>94</v>
      </c>
    </row>
    <row r="76" spans="1:18">
      <c r="K76" t="s">
        <v>95</v>
      </c>
    </row>
    <row r="77" spans="1:18">
      <c r="K77" t="s">
        <v>96</v>
      </c>
    </row>
    <row r="78" spans="1:18">
      <c r="L78" s="70" t="s">
        <v>113</v>
      </c>
    </row>
    <row r="92" spans="1:3">
      <c r="A92" t="s">
        <v>100</v>
      </c>
      <c r="C92" t="s">
        <v>146</v>
      </c>
    </row>
    <row r="104" spans="1:2">
      <c r="A104" t="s">
        <v>103</v>
      </c>
    </row>
    <row r="105" spans="1:2">
      <c r="B105" t="s">
        <v>123</v>
      </c>
    </row>
    <row r="124" spans="1:1">
      <c r="A124" t="s">
        <v>106</v>
      </c>
    </row>
    <row r="153" spans="1:13">
      <c r="A153" t="s">
        <v>120</v>
      </c>
      <c r="B153" s="71" t="s">
        <v>114</v>
      </c>
    </row>
    <row r="154" spans="1:13" ht="40.5" customHeight="1">
      <c r="B154" s="74">
        <v>1</v>
      </c>
      <c r="C154" s="77" t="s">
        <v>115</v>
      </c>
      <c r="D154" s="78"/>
      <c r="E154" s="77" t="s">
        <v>125</v>
      </c>
      <c r="F154" s="79"/>
      <c r="G154" s="79"/>
      <c r="H154" s="79"/>
      <c r="I154" s="79"/>
      <c r="J154" s="79"/>
      <c r="K154" s="79"/>
      <c r="L154" s="79"/>
      <c r="M154" s="78"/>
    </row>
    <row r="155" spans="1:13" ht="39" customHeight="1">
      <c r="B155" s="74">
        <v>2</v>
      </c>
      <c r="C155" s="77" t="s">
        <v>116</v>
      </c>
      <c r="D155" s="78"/>
      <c r="E155" s="77" t="s">
        <v>119</v>
      </c>
      <c r="F155" s="79"/>
      <c r="G155" s="79"/>
      <c r="H155" s="79"/>
      <c r="I155" s="79"/>
      <c r="J155" s="79"/>
      <c r="K155" s="79"/>
      <c r="L155" s="79"/>
      <c r="M155" s="78"/>
    </row>
    <row r="156" spans="1:13" ht="54.75" customHeight="1">
      <c r="B156" s="74">
        <v>3</v>
      </c>
      <c r="C156" s="77" t="s">
        <v>117</v>
      </c>
      <c r="D156" s="78"/>
      <c r="E156" s="77" t="s">
        <v>121</v>
      </c>
      <c r="F156" s="79"/>
      <c r="G156" s="79"/>
      <c r="H156" s="79"/>
      <c r="I156" s="79"/>
      <c r="J156" s="79"/>
      <c r="K156" s="79"/>
      <c r="L156" s="79"/>
      <c r="M156" s="78"/>
    </row>
    <row r="157" spans="1:13" ht="97.5" customHeight="1">
      <c r="B157" s="74">
        <v>4</v>
      </c>
      <c r="C157" s="77" t="s">
        <v>118</v>
      </c>
      <c r="D157" s="78"/>
      <c r="E157" s="77" t="s">
        <v>124</v>
      </c>
      <c r="F157" s="79"/>
      <c r="G157" s="79"/>
      <c r="H157" s="79"/>
      <c r="I157" s="79"/>
      <c r="J157" s="79"/>
      <c r="K157" s="79"/>
      <c r="L157" s="79"/>
      <c r="M157" s="78"/>
    </row>
  </sheetData>
  <mergeCells count="8">
    <mergeCell ref="C156:D156"/>
    <mergeCell ref="C157:D157"/>
    <mergeCell ref="E156:M156"/>
    <mergeCell ref="E157:M157"/>
    <mergeCell ref="C154:D154"/>
    <mergeCell ref="C155:D155"/>
    <mergeCell ref="E154:M154"/>
    <mergeCell ref="E155:M155"/>
  </mergeCells>
  <phoneticPr fontId="2" type="noConversion"/>
  <hyperlinks>
    <hyperlink ref="L78" location="Readme!A103" display="使用Outlook功能"/>
    <hyperlink ref="R66" location="Readme!A103" display="使用Outlook功能"/>
  </hyperlinks>
  <pageMargins left="0.75" right="0.75" top="1" bottom="1" header="0.5" footer="0.5"/>
  <pageSetup paperSize="9" scale="41" fitToHeight="2" orientation="portrait"/>
  <rowBreaks count="1" manualBreakCount="1">
    <brk id="103" max="16383" man="1"/>
  </rowBreaks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indexed="24"/>
    <outlinePr applyStyles="1" summaryBelow="0"/>
    <pageSetUpPr fitToPage="1"/>
  </sheetPr>
  <dimension ref="A1:FL17"/>
  <sheetViews>
    <sheetView showGridLines="0" tabSelected="1" zoomScale="70" zoomScaleNormal="75" zoomScalePageLayoutView="75" workbookViewId="0">
      <pane xSplit="12" topLeftCell="M1" activePane="topRight" state="frozenSplit"/>
      <selection pane="topRight" activeCell="AY43" sqref="AY43"/>
    </sheetView>
  </sheetViews>
  <sheetFormatPr baseColWidth="10" defaultColWidth="8.83203125" defaultRowHeight="15" x14ac:dyDescent="0"/>
  <cols>
    <col min="1" max="1" width="5.6640625" customWidth="1"/>
    <col min="2" max="2" width="17.6640625" customWidth="1"/>
    <col min="3" max="3" width="9.6640625" customWidth="1"/>
    <col min="4" max="8" width="5.5" customWidth="1"/>
    <col min="9" max="9" width="8.1640625" customWidth="1"/>
    <col min="10" max="10" width="5.1640625" customWidth="1"/>
    <col min="11" max="11" width="4" customWidth="1"/>
    <col min="12" max="12" width="4.1640625" customWidth="1"/>
    <col min="13" max="42" width="2.6640625" customWidth="1"/>
    <col min="43" max="43" width="3.5" customWidth="1"/>
    <col min="44" max="73" width="2.6640625" customWidth="1"/>
    <col min="74" max="74" width="3.5" customWidth="1"/>
    <col min="75" max="104" width="2.6640625" customWidth="1"/>
    <col min="105" max="168" width="2.6640625" hidden="1" customWidth="1"/>
  </cols>
  <sheetData>
    <row r="1" spans="1:168">
      <c r="A1" s="8"/>
      <c r="B1" s="8" t="s">
        <v>24</v>
      </c>
      <c r="C1" s="8" t="str">
        <f>Config!B4</f>
        <v>DateChart2_1.4</v>
      </c>
      <c r="D1" s="8"/>
      <c r="E1" s="8"/>
      <c r="F1" s="8"/>
      <c r="G1" s="8"/>
      <c r="H1" s="8" t="s">
        <v>25</v>
      </c>
      <c r="I1" s="80">
        <f ca="1">TODAY()</f>
        <v>41758</v>
      </c>
      <c r="J1" s="80"/>
      <c r="K1" s="8"/>
      <c r="L1" s="8"/>
      <c r="M1" s="8"/>
      <c r="N1" s="8"/>
      <c r="O1" s="8" t="s">
        <v>38</v>
      </c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 t="s">
        <v>40</v>
      </c>
      <c r="DD1" s="8"/>
      <c r="DE1" s="8"/>
      <c r="DF1" s="8"/>
      <c r="DG1" s="30"/>
      <c r="DH1" s="8"/>
      <c r="DI1" s="8"/>
      <c r="DJ1" s="8"/>
      <c r="DK1" s="8"/>
      <c r="DL1" s="8"/>
      <c r="DM1" s="8"/>
      <c r="DN1" s="8"/>
      <c r="DO1" s="8"/>
      <c r="DP1" s="8"/>
      <c r="DQ1" s="30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30"/>
      <c r="EF1" s="8"/>
      <c r="EG1" s="8"/>
      <c r="EH1" s="8"/>
      <c r="EI1" s="8"/>
      <c r="EJ1" s="8"/>
      <c r="EK1" s="8"/>
      <c r="EL1" s="8"/>
      <c r="EM1" s="8"/>
      <c r="EN1" s="8"/>
      <c r="EO1" s="30"/>
      <c r="EP1" s="8"/>
      <c r="EQ1" s="8"/>
      <c r="ER1" s="8"/>
      <c r="ES1" s="8"/>
      <c r="ET1" s="8"/>
      <c r="EU1" s="8"/>
      <c r="EV1" s="8"/>
      <c r="EW1" s="8"/>
      <c r="EX1" s="8"/>
      <c r="EY1" s="8"/>
      <c r="EZ1" s="8"/>
      <c r="FA1" s="8"/>
      <c r="FB1" s="30"/>
      <c r="FC1" s="8"/>
      <c r="FD1" s="8"/>
      <c r="FE1" s="8"/>
      <c r="FF1" s="8"/>
      <c r="FG1" s="8"/>
      <c r="FH1" s="8"/>
      <c r="FI1" s="8"/>
      <c r="FJ1" s="8"/>
      <c r="FK1" s="8"/>
      <c r="FL1" s="8"/>
    </row>
    <row r="2" spans="1:168">
      <c r="B2" s="6" t="s">
        <v>76</v>
      </c>
      <c r="C2" s="15">
        <v>2014</v>
      </c>
      <c r="D2" s="6" t="s">
        <v>45</v>
      </c>
      <c r="E2" s="15">
        <v>4</v>
      </c>
      <c r="F2" s="6"/>
    </row>
    <row r="3" spans="1:168" hidden="1">
      <c r="B3" s="6"/>
      <c r="C3" s="15"/>
    </row>
    <row r="4" spans="1:168">
      <c r="C4" s="2"/>
      <c r="I4" s="4" t="s">
        <v>9</v>
      </c>
      <c r="J4" s="45" t="s">
        <v>5</v>
      </c>
      <c r="K4" s="46"/>
      <c r="L4" s="47"/>
      <c r="M4" s="7">
        <f>MONTH(M7)</f>
        <v>4</v>
      </c>
      <c r="N4" s="7" t="str">
        <f t="shared" ref="N4:BY4" si="0">IF(DAY(N7)=1,MONTH(N7),"")</f>
        <v/>
      </c>
      <c r="O4" s="7" t="str">
        <f t="shared" si="0"/>
        <v/>
      </c>
      <c r="P4" s="7" t="str">
        <f t="shared" si="0"/>
        <v/>
      </c>
      <c r="Q4" s="7" t="str">
        <f t="shared" si="0"/>
        <v/>
      </c>
      <c r="R4" s="7" t="str">
        <f t="shared" si="0"/>
        <v/>
      </c>
      <c r="S4" s="7" t="str">
        <f t="shared" si="0"/>
        <v/>
      </c>
      <c r="T4" s="7" t="str">
        <f t="shared" si="0"/>
        <v/>
      </c>
      <c r="U4" s="7" t="str">
        <f t="shared" si="0"/>
        <v/>
      </c>
      <c r="V4" s="7" t="str">
        <f t="shared" si="0"/>
        <v/>
      </c>
      <c r="W4" s="7" t="str">
        <f t="shared" si="0"/>
        <v/>
      </c>
      <c r="X4" s="7" t="str">
        <f t="shared" si="0"/>
        <v/>
      </c>
      <c r="Y4" s="7" t="str">
        <f t="shared" si="0"/>
        <v/>
      </c>
      <c r="Z4" s="7" t="str">
        <f t="shared" si="0"/>
        <v/>
      </c>
      <c r="AA4" s="7" t="str">
        <f t="shared" si="0"/>
        <v/>
      </c>
      <c r="AB4" s="7" t="str">
        <f t="shared" si="0"/>
        <v/>
      </c>
      <c r="AC4" s="7">
        <f t="shared" si="0"/>
        <v>5</v>
      </c>
      <c r="AD4" s="7" t="str">
        <f t="shared" si="0"/>
        <v/>
      </c>
      <c r="AE4" s="7" t="str">
        <f t="shared" si="0"/>
        <v/>
      </c>
      <c r="AF4" s="7" t="str">
        <f t="shared" si="0"/>
        <v/>
      </c>
      <c r="AG4" s="7" t="str">
        <f t="shared" si="0"/>
        <v/>
      </c>
      <c r="AH4" s="7" t="str">
        <f t="shared" si="0"/>
        <v/>
      </c>
      <c r="AI4" s="7" t="str">
        <f t="shared" si="0"/>
        <v/>
      </c>
      <c r="AJ4" s="7" t="str">
        <f t="shared" si="0"/>
        <v/>
      </c>
      <c r="AK4" s="7" t="str">
        <f t="shared" si="0"/>
        <v/>
      </c>
      <c r="AL4" s="7" t="str">
        <f t="shared" si="0"/>
        <v/>
      </c>
      <c r="AM4" s="7" t="str">
        <f t="shared" si="0"/>
        <v/>
      </c>
      <c r="AN4" s="7" t="str">
        <f t="shared" si="0"/>
        <v/>
      </c>
      <c r="AO4" s="7" t="str">
        <f t="shared" si="0"/>
        <v/>
      </c>
      <c r="AP4" s="7" t="str">
        <f t="shared" si="0"/>
        <v/>
      </c>
      <c r="AQ4" s="7" t="str">
        <f t="shared" si="0"/>
        <v/>
      </c>
      <c r="AR4" s="7" t="str">
        <f t="shared" si="0"/>
        <v/>
      </c>
      <c r="AS4" s="7" t="str">
        <f t="shared" si="0"/>
        <v/>
      </c>
      <c r="AT4" s="7" t="str">
        <f t="shared" si="0"/>
        <v/>
      </c>
      <c r="AU4" s="7" t="str">
        <f t="shared" si="0"/>
        <v/>
      </c>
      <c r="AV4" s="7" t="str">
        <f t="shared" si="0"/>
        <v/>
      </c>
      <c r="AW4" s="7" t="str">
        <f t="shared" si="0"/>
        <v/>
      </c>
      <c r="AX4" s="7" t="str">
        <f t="shared" si="0"/>
        <v/>
      </c>
      <c r="AY4" s="7" t="str">
        <f t="shared" si="0"/>
        <v/>
      </c>
      <c r="AZ4" s="7" t="str">
        <f t="shared" si="0"/>
        <v/>
      </c>
      <c r="BA4" s="7" t="str">
        <f t="shared" si="0"/>
        <v/>
      </c>
      <c r="BB4" s="7" t="str">
        <f t="shared" si="0"/>
        <v/>
      </c>
      <c r="BC4" s="7" t="str">
        <f t="shared" si="0"/>
        <v/>
      </c>
      <c r="BD4" s="7" t="str">
        <f t="shared" si="0"/>
        <v/>
      </c>
      <c r="BE4" s="7" t="str">
        <f t="shared" si="0"/>
        <v/>
      </c>
      <c r="BF4" s="7" t="str">
        <f t="shared" si="0"/>
        <v/>
      </c>
      <c r="BG4" s="7" t="str">
        <f t="shared" si="0"/>
        <v/>
      </c>
      <c r="BH4" s="7">
        <f t="shared" si="0"/>
        <v>6</v>
      </c>
      <c r="BI4" s="7" t="str">
        <f t="shared" si="0"/>
        <v/>
      </c>
      <c r="BJ4" s="7" t="str">
        <f t="shared" si="0"/>
        <v/>
      </c>
      <c r="BK4" s="7" t="str">
        <f t="shared" si="0"/>
        <v/>
      </c>
      <c r="BL4" s="7" t="str">
        <f t="shared" si="0"/>
        <v/>
      </c>
      <c r="BM4" s="7" t="str">
        <f t="shared" si="0"/>
        <v/>
      </c>
      <c r="BN4" s="7" t="str">
        <f t="shared" si="0"/>
        <v/>
      </c>
      <c r="BO4" s="7" t="str">
        <f t="shared" si="0"/>
        <v/>
      </c>
      <c r="BP4" s="7" t="str">
        <f t="shared" si="0"/>
        <v/>
      </c>
      <c r="BQ4" s="7" t="str">
        <f t="shared" si="0"/>
        <v/>
      </c>
      <c r="BR4" s="7" t="str">
        <f t="shared" si="0"/>
        <v/>
      </c>
      <c r="BS4" s="7" t="str">
        <f t="shared" si="0"/>
        <v/>
      </c>
      <c r="BT4" s="7" t="str">
        <f t="shared" si="0"/>
        <v/>
      </c>
      <c r="BU4" s="7" t="str">
        <f t="shared" si="0"/>
        <v/>
      </c>
      <c r="BV4" s="7" t="str">
        <f t="shared" si="0"/>
        <v/>
      </c>
      <c r="BW4" s="7" t="str">
        <f t="shared" si="0"/>
        <v/>
      </c>
      <c r="BX4" s="7" t="str">
        <f t="shared" si="0"/>
        <v/>
      </c>
      <c r="BY4" s="7" t="str">
        <f t="shared" si="0"/>
        <v/>
      </c>
      <c r="BZ4" s="7" t="str">
        <f t="shared" ref="BZ4:CV4" si="1">IF(DAY(BZ7)=1,MONTH(BZ7),"")</f>
        <v/>
      </c>
      <c r="CA4" s="7" t="str">
        <f t="shared" si="1"/>
        <v/>
      </c>
      <c r="CB4" s="7" t="str">
        <f t="shared" si="1"/>
        <v/>
      </c>
      <c r="CC4" s="7" t="str">
        <f t="shared" si="1"/>
        <v/>
      </c>
      <c r="CD4" s="7" t="str">
        <f t="shared" si="1"/>
        <v/>
      </c>
      <c r="CE4" s="7" t="str">
        <f t="shared" si="1"/>
        <v/>
      </c>
      <c r="CF4" s="7" t="str">
        <f t="shared" si="1"/>
        <v/>
      </c>
      <c r="CG4" s="7" t="str">
        <f t="shared" si="1"/>
        <v/>
      </c>
      <c r="CH4" s="7" t="str">
        <f t="shared" si="1"/>
        <v/>
      </c>
      <c r="CI4" s="7" t="str">
        <f t="shared" si="1"/>
        <v/>
      </c>
      <c r="CJ4" s="7" t="str">
        <f t="shared" si="1"/>
        <v/>
      </c>
      <c r="CK4" s="7" t="str">
        <f t="shared" si="1"/>
        <v/>
      </c>
      <c r="CL4" s="7">
        <f t="shared" si="1"/>
        <v>7</v>
      </c>
      <c r="CM4" s="7" t="str">
        <f t="shared" si="1"/>
        <v/>
      </c>
      <c r="CN4" s="7" t="str">
        <f t="shared" si="1"/>
        <v/>
      </c>
      <c r="CO4" s="7" t="str">
        <f t="shared" si="1"/>
        <v/>
      </c>
      <c r="CP4" s="7" t="str">
        <f t="shared" si="1"/>
        <v/>
      </c>
      <c r="CQ4" s="7" t="str">
        <f t="shared" si="1"/>
        <v/>
      </c>
      <c r="CR4" s="7" t="str">
        <f t="shared" si="1"/>
        <v/>
      </c>
      <c r="CS4" s="7" t="str">
        <f t="shared" si="1"/>
        <v/>
      </c>
      <c r="CT4" s="7" t="str">
        <f t="shared" si="1"/>
        <v/>
      </c>
      <c r="CU4" s="7" t="str">
        <f t="shared" si="1"/>
        <v/>
      </c>
      <c r="CV4" s="7" t="str">
        <f t="shared" si="1"/>
        <v/>
      </c>
      <c r="CW4" s="7" t="str">
        <f>IF(DAY(CW7)=1,MONTH(CW7),"")</f>
        <v/>
      </c>
      <c r="CX4" s="7" t="str">
        <f>IF(DAY(CX7)=1,MONTH(CX7),"")</f>
        <v/>
      </c>
      <c r="CY4" s="7" t="str">
        <f>IF(DAY(CY7)=1,MONTH(CY7),"")</f>
        <v/>
      </c>
      <c r="CZ4" s="7" t="str">
        <f>IF(DAY(CZ7)=1,MONTH(CZ7),"")</f>
        <v/>
      </c>
      <c r="DA4" s="41">
        <f>MONTH(DA7)</f>
        <v>4</v>
      </c>
      <c r="DB4" s="42" t="str">
        <f t="shared" ref="DB4:DO4" si="2">IF(MONTH(DA7)=MONTH(DB7),"",MONTH(DB7))</f>
        <v/>
      </c>
      <c r="DC4" s="42" t="str">
        <f t="shared" si="2"/>
        <v/>
      </c>
      <c r="DD4" s="42" t="str">
        <f t="shared" si="2"/>
        <v/>
      </c>
      <c r="DE4" s="42">
        <f t="shared" si="2"/>
        <v>5</v>
      </c>
      <c r="DF4" s="42" t="str">
        <f t="shared" si="2"/>
        <v/>
      </c>
      <c r="DG4" s="42" t="str">
        <f t="shared" si="2"/>
        <v/>
      </c>
      <c r="DH4" s="42" t="str">
        <f t="shared" si="2"/>
        <v/>
      </c>
      <c r="DI4" s="42">
        <f t="shared" si="2"/>
        <v>6</v>
      </c>
      <c r="DJ4" s="42" t="str">
        <f t="shared" si="2"/>
        <v/>
      </c>
      <c r="DK4" s="42" t="str">
        <f t="shared" si="2"/>
        <v/>
      </c>
      <c r="DL4" s="42" t="str">
        <f t="shared" si="2"/>
        <v/>
      </c>
      <c r="DM4" s="42" t="str">
        <f t="shared" si="2"/>
        <v/>
      </c>
      <c r="DN4" s="42">
        <f t="shared" si="2"/>
        <v>7</v>
      </c>
      <c r="DO4" s="42" t="str">
        <f t="shared" si="2"/>
        <v/>
      </c>
      <c r="DP4" s="42" t="str">
        <f t="shared" ref="DP4:ES4" si="3">IF(MONTH(DO7)=MONTH(DP7),"",MONTH(DP7))</f>
        <v/>
      </c>
      <c r="DQ4" s="42" t="str">
        <f t="shared" si="3"/>
        <v/>
      </c>
      <c r="DR4" s="42">
        <f t="shared" si="3"/>
        <v>8</v>
      </c>
      <c r="DS4" s="42" t="str">
        <f t="shared" si="3"/>
        <v/>
      </c>
      <c r="DT4" s="42" t="str">
        <f t="shared" si="3"/>
        <v/>
      </c>
      <c r="DU4" s="42" t="str">
        <f t="shared" si="3"/>
        <v/>
      </c>
      <c r="DV4" s="42">
        <f t="shared" si="3"/>
        <v>9</v>
      </c>
      <c r="DW4" s="42" t="str">
        <f t="shared" si="3"/>
        <v/>
      </c>
      <c r="DX4" s="42" t="str">
        <f t="shared" si="3"/>
        <v/>
      </c>
      <c r="DY4" s="42" t="str">
        <f t="shared" si="3"/>
        <v/>
      </c>
      <c r="DZ4" s="42" t="str">
        <f t="shared" si="3"/>
        <v/>
      </c>
      <c r="EA4" s="42">
        <f t="shared" si="3"/>
        <v>10</v>
      </c>
      <c r="EB4" s="42" t="str">
        <f t="shared" si="3"/>
        <v/>
      </c>
      <c r="EC4" s="42" t="str">
        <f t="shared" si="3"/>
        <v/>
      </c>
      <c r="ED4" s="42" t="str">
        <f t="shared" si="3"/>
        <v/>
      </c>
      <c r="EE4" s="42">
        <f t="shared" si="3"/>
        <v>11</v>
      </c>
      <c r="EF4" s="42" t="str">
        <f t="shared" si="3"/>
        <v/>
      </c>
      <c r="EG4" s="42" t="str">
        <f t="shared" si="3"/>
        <v/>
      </c>
      <c r="EH4" s="42" t="str">
        <f t="shared" si="3"/>
        <v/>
      </c>
      <c r="EI4" s="42">
        <f t="shared" si="3"/>
        <v>12</v>
      </c>
      <c r="EJ4" s="42" t="str">
        <f t="shared" si="3"/>
        <v/>
      </c>
      <c r="EK4" s="42" t="str">
        <f t="shared" si="3"/>
        <v/>
      </c>
      <c r="EL4" s="42" t="str">
        <f t="shared" si="3"/>
        <v/>
      </c>
      <c r="EM4" s="42" t="str">
        <f t="shared" si="3"/>
        <v/>
      </c>
      <c r="EN4" s="42">
        <f t="shared" si="3"/>
        <v>1</v>
      </c>
      <c r="EO4" s="42" t="str">
        <f t="shared" si="3"/>
        <v/>
      </c>
      <c r="EP4" s="42" t="str">
        <f t="shared" si="3"/>
        <v/>
      </c>
      <c r="EQ4" s="42" t="str">
        <f t="shared" si="3"/>
        <v/>
      </c>
      <c r="ER4" s="42">
        <f t="shared" si="3"/>
        <v>2</v>
      </c>
      <c r="ES4" s="42" t="str">
        <f t="shared" si="3"/>
        <v/>
      </c>
      <c r="ET4" s="42" t="str">
        <f t="shared" ref="ET4:FL4" si="4">IF(MONTH(ES7)=MONTH(ET7),"",MONTH(ET7))</f>
        <v/>
      </c>
      <c r="EU4" s="42" t="str">
        <f t="shared" si="4"/>
        <v/>
      </c>
      <c r="EV4" s="42">
        <f t="shared" si="4"/>
        <v>3</v>
      </c>
      <c r="EW4" s="42" t="str">
        <f t="shared" si="4"/>
        <v/>
      </c>
      <c r="EX4" s="42" t="str">
        <f t="shared" si="4"/>
        <v/>
      </c>
      <c r="EY4" s="42" t="str">
        <f t="shared" si="4"/>
        <v/>
      </c>
      <c r="EZ4" s="42" t="str">
        <f t="shared" si="4"/>
        <v/>
      </c>
      <c r="FA4" s="42">
        <f t="shared" si="4"/>
        <v>4</v>
      </c>
      <c r="FB4" s="42" t="str">
        <f t="shared" si="4"/>
        <v/>
      </c>
      <c r="FC4" s="42" t="str">
        <f t="shared" si="4"/>
        <v/>
      </c>
      <c r="FD4" s="42" t="str">
        <f t="shared" si="4"/>
        <v/>
      </c>
      <c r="FE4" s="42">
        <f t="shared" si="4"/>
        <v>5</v>
      </c>
      <c r="FF4" s="42" t="str">
        <f t="shared" si="4"/>
        <v/>
      </c>
      <c r="FG4" s="42" t="str">
        <f t="shared" si="4"/>
        <v/>
      </c>
      <c r="FH4" s="42" t="str">
        <f t="shared" si="4"/>
        <v/>
      </c>
      <c r="FI4" s="42">
        <f t="shared" si="4"/>
        <v>6</v>
      </c>
      <c r="FJ4" s="42" t="str">
        <f t="shared" si="4"/>
        <v/>
      </c>
      <c r="FK4" s="42" t="str">
        <f t="shared" si="4"/>
        <v/>
      </c>
      <c r="FL4" s="42" t="str">
        <f t="shared" si="4"/>
        <v/>
      </c>
    </row>
    <row r="5" spans="1:168" hidden="1">
      <c r="A5" t="s">
        <v>132</v>
      </c>
      <c r="C5" s="2"/>
      <c r="D5">
        <v>15</v>
      </c>
      <c r="E5" t="s">
        <v>56</v>
      </c>
      <c r="H5" t="s">
        <v>62</v>
      </c>
      <c r="I5" t="s">
        <v>6</v>
      </c>
      <c r="J5" s="4"/>
      <c r="K5" s="9"/>
      <c r="L5" s="9"/>
      <c r="M5">
        <f>D5</f>
        <v>15</v>
      </c>
      <c r="N5">
        <f>M5+1</f>
        <v>16</v>
      </c>
      <c r="O5">
        <f t="shared" ref="O5:BZ5" si="5">N5+1</f>
        <v>17</v>
      </c>
      <c r="P5">
        <f t="shared" si="5"/>
        <v>18</v>
      </c>
      <c r="Q5">
        <f t="shared" si="5"/>
        <v>19</v>
      </c>
      <c r="R5">
        <f t="shared" si="5"/>
        <v>20</v>
      </c>
      <c r="S5">
        <f t="shared" si="5"/>
        <v>21</v>
      </c>
      <c r="T5">
        <f t="shared" si="5"/>
        <v>22</v>
      </c>
      <c r="U5">
        <f t="shared" si="5"/>
        <v>23</v>
      </c>
      <c r="V5">
        <f t="shared" si="5"/>
        <v>24</v>
      </c>
      <c r="W5">
        <f t="shared" si="5"/>
        <v>25</v>
      </c>
      <c r="X5">
        <f t="shared" si="5"/>
        <v>26</v>
      </c>
      <c r="Y5">
        <f t="shared" si="5"/>
        <v>27</v>
      </c>
      <c r="Z5">
        <f t="shared" si="5"/>
        <v>28</v>
      </c>
      <c r="AA5">
        <f t="shared" si="5"/>
        <v>29</v>
      </c>
      <c r="AB5">
        <f t="shared" si="5"/>
        <v>30</v>
      </c>
      <c r="AC5">
        <f t="shared" si="5"/>
        <v>31</v>
      </c>
      <c r="AD5">
        <f t="shared" si="5"/>
        <v>32</v>
      </c>
      <c r="AE5">
        <f t="shared" si="5"/>
        <v>33</v>
      </c>
      <c r="AF5">
        <f t="shared" si="5"/>
        <v>34</v>
      </c>
      <c r="AG5">
        <f t="shared" si="5"/>
        <v>35</v>
      </c>
      <c r="AH5">
        <f t="shared" si="5"/>
        <v>36</v>
      </c>
      <c r="AI5">
        <f t="shared" si="5"/>
        <v>37</v>
      </c>
      <c r="AJ5">
        <f t="shared" si="5"/>
        <v>38</v>
      </c>
      <c r="AK5">
        <f t="shared" si="5"/>
        <v>39</v>
      </c>
      <c r="AL5">
        <f t="shared" si="5"/>
        <v>40</v>
      </c>
      <c r="AM5">
        <f t="shared" si="5"/>
        <v>41</v>
      </c>
      <c r="AN5">
        <f t="shared" si="5"/>
        <v>42</v>
      </c>
      <c r="AO5">
        <f t="shared" si="5"/>
        <v>43</v>
      </c>
      <c r="AP5">
        <f t="shared" si="5"/>
        <v>44</v>
      </c>
      <c r="AQ5">
        <f t="shared" si="5"/>
        <v>45</v>
      </c>
      <c r="AR5">
        <f t="shared" si="5"/>
        <v>46</v>
      </c>
      <c r="AS5">
        <f t="shared" si="5"/>
        <v>47</v>
      </c>
      <c r="AT5">
        <f t="shared" si="5"/>
        <v>48</v>
      </c>
      <c r="AU5">
        <f t="shared" si="5"/>
        <v>49</v>
      </c>
      <c r="AV5">
        <f t="shared" si="5"/>
        <v>50</v>
      </c>
      <c r="AW5">
        <f t="shared" si="5"/>
        <v>51</v>
      </c>
      <c r="AX5">
        <f t="shared" si="5"/>
        <v>52</v>
      </c>
      <c r="AY5">
        <f t="shared" si="5"/>
        <v>53</v>
      </c>
      <c r="AZ5">
        <f t="shared" si="5"/>
        <v>54</v>
      </c>
      <c r="BA5">
        <f t="shared" si="5"/>
        <v>55</v>
      </c>
      <c r="BB5">
        <f t="shared" si="5"/>
        <v>56</v>
      </c>
      <c r="BC5">
        <f t="shared" si="5"/>
        <v>57</v>
      </c>
      <c r="BD5">
        <f t="shared" si="5"/>
        <v>58</v>
      </c>
      <c r="BE5">
        <f t="shared" si="5"/>
        <v>59</v>
      </c>
      <c r="BF5">
        <f t="shared" si="5"/>
        <v>60</v>
      </c>
      <c r="BG5">
        <f t="shared" si="5"/>
        <v>61</v>
      </c>
      <c r="BH5">
        <f t="shared" si="5"/>
        <v>62</v>
      </c>
      <c r="BI5">
        <f t="shared" si="5"/>
        <v>63</v>
      </c>
      <c r="BJ5">
        <f t="shared" si="5"/>
        <v>64</v>
      </c>
      <c r="BK5">
        <f t="shared" si="5"/>
        <v>65</v>
      </c>
      <c r="BL5">
        <f t="shared" si="5"/>
        <v>66</v>
      </c>
      <c r="BM5">
        <f t="shared" si="5"/>
        <v>67</v>
      </c>
      <c r="BN5">
        <f t="shared" si="5"/>
        <v>68</v>
      </c>
      <c r="BO5">
        <f t="shared" si="5"/>
        <v>69</v>
      </c>
      <c r="BP5">
        <f t="shared" si="5"/>
        <v>70</v>
      </c>
      <c r="BQ5">
        <f t="shared" si="5"/>
        <v>71</v>
      </c>
      <c r="BR5">
        <f t="shared" si="5"/>
        <v>72</v>
      </c>
      <c r="BS5">
        <f t="shared" si="5"/>
        <v>73</v>
      </c>
      <c r="BT5">
        <f t="shared" si="5"/>
        <v>74</v>
      </c>
      <c r="BU5">
        <f t="shared" si="5"/>
        <v>75</v>
      </c>
      <c r="BV5">
        <f t="shared" si="5"/>
        <v>76</v>
      </c>
      <c r="BW5">
        <f t="shared" si="5"/>
        <v>77</v>
      </c>
      <c r="BX5">
        <f t="shared" si="5"/>
        <v>78</v>
      </c>
      <c r="BY5">
        <f t="shared" si="5"/>
        <v>79</v>
      </c>
      <c r="BZ5">
        <f t="shared" si="5"/>
        <v>80</v>
      </c>
      <c r="CA5">
        <f t="shared" ref="CA5:CV5" si="6">BZ5+1</f>
        <v>81</v>
      </c>
      <c r="CB5">
        <f t="shared" si="6"/>
        <v>82</v>
      </c>
      <c r="CC5">
        <f t="shared" si="6"/>
        <v>83</v>
      </c>
      <c r="CD5">
        <f t="shared" si="6"/>
        <v>84</v>
      </c>
      <c r="CE5">
        <f t="shared" si="6"/>
        <v>85</v>
      </c>
      <c r="CF5">
        <f t="shared" si="6"/>
        <v>86</v>
      </c>
      <c r="CG5">
        <f t="shared" si="6"/>
        <v>87</v>
      </c>
      <c r="CH5">
        <f t="shared" si="6"/>
        <v>88</v>
      </c>
      <c r="CI5">
        <f t="shared" si="6"/>
        <v>89</v>
      </c>
      <c r="CJ5">
        <f t="shared" si="6"/>
        <v>90</v>
      </c>
      <c r="CK5">
        <f t="shared" si="6"/>
        <v>91</v>
      </c>
      <c r="CL5">
        <f t="shared" si="6"/>
        <v>92</v>
      </c>
      <c r="CM5">
        <f t="shared" si="6"/>
        <v>93</v>
      </c>
      <c r="CN5">
        <f t="shared" si="6"/>
        <v>94</v>
      </c>
      <c r="CO5">
        <f t="shared" si="6"/>
        <v>95</v>
      </c>
      <c r="CP5">
        <f t="shared" si="6"/>
        <v>96</v>
      </c>
      <c r="CQ5">
        <f t="shared" si="6"/>
        <v>97</v>
      </c>
      <c r="CR5">
        <f t="shared" si="6"/>
        <v>98</v>
      </c>
      <c r="CS5">
        <f t="shared" si="6"/>
        <v>99</v>
      </c>
      <c r="CT5">
        <f t="shared" si="6"/>
        <v>100</v>
      </c>
      <c r="CU5">
        <f t="shared" si="6"/>
        <v>101</v>
      </c>
      <c r="CV5">
        <f t="shared" si="6"/>
        <v>102</v>
      </c>
      <c r="CW5">
        <f>CV5+1</f>
        <v>103</v>
      </c>
      <c r="CX5">
        <f>CW5+1</f>
        <v>104</v>
      </c>
      <c r="CY5">
        <f>CX5+1</f>
        <v>105</v>
      </c>
      <c r="CZ5">
        <f>CY5+1</f>
        <v>106</v>
      </c>
      <c r="DA5" s="29">
        <v>7</v>
      </c>
      <c r="DB5">
        <f t="shared" ref="DB5:EY5" si="7">DA5+7</f>
        <v>14</v>
      </c>
      <c r="DC5">
        <f t="shared" si="7"/>
        <v>21</v>
      </c>
      <c r="DD5">
        <f t="shared" si="7"/>
        <v>28</v>
      </c>
      <c r="DE5">
        <f t="shared" si="7"/>
        <v>35</v>
      </c>
      <c r="DF5">
        <f t="shared" si="7"/>
        <v>42</v>
      </c>
      <c r="DG5">
        <f t="shared" si="7"/>
        <v>49</v>
      </c>
      <c r="DH5">
        <f t="shared" si="7"/>
        <v>56</v>
      </c>
      <c r="DI5">
        <f t="shared" si="7"/>
        <v>63</v>
      </c>
      <c r="DJ5">
        <f t="shared" si="7"/>
        <v>70</v>
      </c>
      <c r="DK5">
        <f t="shared" si="7"/>
        <v>77</v>
      </c>
      <c r="DL5">
        <f t="shared" si="7"/>
        <v>84</v>
      </c>
      <c r="DM5">
        <f t="shared" si="7"/>
        <v>91</v>
      </c>
      <c r="DN5">
        <f t="shared" si="7"/>
        <v>98</v>
      </c>
      <c r="DO5">
        <f t="shared" si="7"/>
        <v>105</v>
      </c>
      <c r="DP5">
        <f t="shared" si="7"/>
        <v>112</v>
      </c>
      <c r="DQ5">
        <f t="shared" si="7"/>
        <v>119</v>
      </c>
      <c r="DR5">
        <f t="shared" si="7"/>
        <v>126</v>
      </c>
      <c r="DS5">
        <f t="shared" si="7"/>
        <v>133</v>
      </c>
      <c r="DT5">
        <f t="shared" si="7"/>
        <v>140</v>
      </c>
      <c r="DU5">
        <f t="shared" si="7"/>
        <v>147</v>
      </c>
      <c r="DV5">
        <f t="shared" si="7"/>
        <v>154</v>
      </c>
      <c r="DW5">
        <f t="shared" si="7"/>
        <v>161</v>
      </c>
      <c r="DX5">
        <f t="shared" si="7"/>
        <v>168</v>
      </c>
      <c r="DY5">
        <f t="shared" si="7"/>
        <v>175</v>
      </c>
      <c r="DZ5">
        <f t="shared" si="7"/>
        <v>182</v>
      </c>
      <c r="EA5">
        <f t="shared" si="7"/>
        <v>189</v>
      </c>
      <c r="EB5">
        <f t="shared" si="7"/>
        <v>196</v>
      </c>
      <c r="EC5">
        <f t="shared" si="7"/>
        <v>203</v>
      </c>
      <c r="ED5">
        <f t="shared" si="7"/>
        <v>210</v>
      </c>
      <c r="EE5">
        <f t="shared" si="7"/>
        <v>217</v>
      </c>
      <c r="EF5">
        <f t="shared" si="7"/>
        <v>224</v>
      </c>
      <c r="EG5">
        <f t="shared" si="7"/>
        <v>231</v>
      </c>
      <c r="EH5">
        <f t="shared" si="7"/>
        <v>238</v>
      </c>
      <c r="EI5">
        <f t="shared" si="7"/>
        <v>245</v>
      </c>
      <c r="EJ5">
        <f t="shared" si="7"/>
        <v>252</v>
      </c>
      <c r="EK5">
        <f t="shared" si="7"/>
        <v>259</v>
      </c>
      <c r="EL5">
        <f t="shared" si="7"/>
        <v>266</v>
      </c>
      <c r="EM5">
        <f t="shared" si="7"/>
        <v>273</v>
      </c>
      <c r="EN5">
        <f t="shared" si="7"/>
        <v>280</v>
      </c>
      <c r="EO5">
        <f t="shared" si="7"/>
        <v>287</v>
      </c>
      <c r="EP5">
        <f t="shared" si="7"/>
        <v>294</v>
      </c>
      <c r="EQ5">
        <f t="shared" si="7"/>
        <v>301</v>
      </c>
      <c r="ER5">
        <f t="shared" si="7"/>
        <v>308</v>
      </c>
      <c r="ES5">
        <f t="shared" si="7"/>
        <v>315</v>
      </c>
      <c r="ET5">
        <f t="shared" si="7"/>
        <v>322</v>
      </c>
      <c r="EU5">
        <f t="shared" si="7"/>
        <v>329</v>
      </c>
      <c r="EV5">
        <f t="shared" si="7"/>
        <v>336</v>
      </c>
      <c r="EW5">
        <f t="shared" si="7"/>
        <v>343</v>
      </c>
      <c r="EX5">
        <f t="shared" si="7"/>
        <v>350</v>
      </c>
      <c r="EY5">
        <f t="shared" si="7"/>
        <v>357</v>
      </c>
      <c r="EZ5">
        <f t="shared" ref="EZ5:FL5" si="8">EY5+7</f>
        <v>364</v>
      </c>
      <c r="FA5">
        <f t="shared" si="8"/>
        <v>371</v>
      </c>
      <c r="FB5">
        <f t="shared" si="8"/>
        <v>378</v>
      </c>
      <c r="FC5">
        <f t="shared" si="8"/>
        <v>385</v>
      </c>
      <c r="FD5">
        <f t="shared" si="8"/>
        <v>392</v>
      </c>
      <c r="FE5">
        <f t="shared" si="8"/>
        <v>399</v>
      </c>
      <c r="FF5">
        <f t="shared" si="8"/>
        <v>406</v>
      </c>
      <c r="FG5">
        <f t="shared" si="8"/>
        <v>413</v>
      </c>
      <c r="FH5">
        <f t="shared" si="8"/>
        <v>420</v>
      </c>
      <c r="FI5">
        <f t="shared" si="8"/>
        <v>427</v>
      </c>
      <c r="FJ5">
        <f t="shared" si="8"/>
        <v>434</v>
      </c>
      <c r="FK5">
        <f t="shared" si="8"/>
        <v>441</v>
      </c>
      <c r="FL5">
        <f t="shared" si="8"/>
        <v>448</v>
      </c>
    </row>
    <row r="6" spans="1:168">
      <c r="A6" s="4"/>
      <c r="B6" s="4"/>
      <c r="C6" s="4"/>
      <c r="D6" s="4" t="s">
        <v>67</v>
      </c>
      <c r="E6" s="4" t="s">
        <v>68</v>
      </c>
      <c r="F6" s="4" t="s">
        <v>71</v>
      </c>
      <c r="G6" s="4" t="s">
        <v>71</v>
      </c>
      <c r="H6" s="4"/>
      <c r="I6" s="4"/>
      <c r="J6" s="45" t="s">
        <v>10</v>
      </c>
      <c r="K6" s="46"/>
      <c r="L6" s="47"/>
      <c r="M6" s="3">
        <f t="shared" ref="M6:AQ6" si="9">WEEKDAY(M7,2)</f>
        <v>2</v>
      </c>
      <c r="N6" s="3">
        <f t="shared" si="9"/>
        <v>3</v>
      </c>
      <c r="O6" s="3">
        <f t="shared" si="9"/>
        <v>4</v>
      </c>
      <c r="P6" s="3">
        <f t="shared" si="9"/>
        <v>5</v>
      </c>
      <c r="Q6" s="3">
        <f t="shared" si="9"/>
        <v>6</v>
      </c>
      <c r="R6" s="3">
        <f t="shared" si="9"/>
        <v>7</v>
      </c>
      <c r="S6" s="3">
        <f t="shared" si="9"/>
        <v>1</v>
      </c>
      <c r="T6" s="3">
        <f t="shared" si="9"/>
        <v>2</v>
      </c>
      <c r="U6" s="3">
        <f t="shared" si="9"/>
        <v>3</v>
      </c>
      <c r="V6" s="3">
        <f t="shared" si="9"/>
        <v>4</v>
      </c>
      <c r="W6" s="3">
        <f t="shared" si="9"/>
        <v>5</v>
      </c>
      <c r="X6" s="3">
        <f t="shared" si="9"/>
        <v>6</v>
      </c>
      <c r="Y6" s="3">
        <f t="shared" si="9"/>
        <v>7</v>
      </c>
      <c r="Z6" s="3">
        <f t="shared" si="9"/>
        <v>1</v>
      </c>
      <c r="AA6" s="3">
        <f t="shared" si="9"/>
        <v>2</v>
      </c>
      <c r="AB6" s="3">
        <f t="shared" si="9"/>
        <v>3</v>
      </c>
      <c r="AC6" s="3">
        <f t="shared" si="9"/>
        <v>4</v>
      </c>
      <c r="AD6" s="3">
        <f t="shared" si="9"/>
        <v>5</v>
      </c>
      <c r="AE6" s="3">
        <f t="shared" si="9"/>
        <v>6</v>
      </c>
      <c r="AF6" s="3">
        <f t="shared" si="9"/>
        <v>7</v>
      </c>
      <c r="AG6" s="3">
        <f t="shared" si="9"/>
        <v>1</v>
      </c>
      <c r="AH6" s="3">
        <f t="shared" si="9"/>
        <v>2</v>
      </c>
      <c r="AI6" s="3">
        <f t="shared" si="9"/>
        <v>3</v>
      </c>
      <c r="AJ6" s="3">
        <f t="shared" si="9"/>
        <v>4</v>
      </c>
      <c r="AK6" s="3">
        <f t="shared" si="9"/>
        <v>5</v>
      </c>
      <c r="AL6" s="3">
        <f t="shared" si="9"/>
        <v>6</v>
      </c>
      <c r="AM6" s="3">
        <f t="shared" si="9"/>
        <v>7</v>
      </c>
      <c r="AN6" s="3">
        <f t="shared" si="9"/>
        <v>1</v>
      </c>
      <c r="AO6" s="3">
        <f t="shared" si="9"/>
        <v>2</v>
      </c>
      <c r="AP6" s="3">
        <f t="shared" si="9"/>
        <v>3</v>
      </c>
      <c r="AQ6" s="3">
        <f t="shared" si="9"/>
        <v>4</v>
      </c>
      <c r="AR6" s="3">
        <f t="shared" ref="AR6:BW6" si="10">WEEKDAY(AR7,2)</f>
        <v>5</v>
      </c>
      <c r="AS6" s="3">
        <f t="shared" si="10"/>
        <v>6</v>
      </c>
      <c r="AT6" s="3">
        <f t="shared" si="10"/>
        <v>7</v>
      </c>
      <c r="AU6" s="3">
        <f t="shared" si="10"/>
        <v>1</v>
      </c>
      <c r="AV6" s="3">
        <f t="shared" si="10"/>
        <v>2</v>
      </c>
      <c r="AW6" s="3">
        <f t="shared" si="10"/>
        <v>3</v>
      </c>
      <c r="AX6" s="3">
        <f t="shared" si="10"/>
        <v>4</v>
      </c>
      <c r="AY6" s="3">
        <f t="shared" si="10"/>
        <v>5</v>
      </c>
      <c r="AZ6" s="3">
        <f t="shared" si="10"/>
        <v>6</v>
      </c>
      <c r="BA6" s="3">
        <f t="shared" si="10"/>
        <v>7</v>
      </c>
      <c r="BB6" s="3">
        <f t="shared" si="10"/>
        <v>1</v>
      </c>
      <c r="BC6" s="3">
        <f t="shared" si="10"/>
        <v>2</v>
      </c>
      <c r="BD6" s="3">
        <f t="shared" si="10"/>
        <v>3</v>
      </c>
      <c r="BE6" s="3">
        <f t="shared" si="10"/>
        <v>4</v>
      </c>
      <c r="BF6" s="3">
        <f t="shared" si="10"/>
        <v>5</v>
      </c>
      <c r="BG6" s="3">
        <f t="shared" si="10"/>
        <v>6</v>
      </c>
      <c r="BH6" s="3">
        <f t="shared" si="10"/>
        <v>7</v>
      </c>
      <c r="BI6" s="3">
        <f t="shared" si="10"/>
        <v>1</v>
      </c>
      <c r="BJ6" s="3">
        <f t="shared" si="10"/>
        <v>2</v>
      </c>
      <c r="BK6" s="3">
        <f t="shared" si="10"/>
        <v>3</v>
      </c>
      <c r="BL6" s="3">
        <f t="shared" si="10"/>
        <v>4</v>
      </c>
      <c r="BM6" s="3">
        <f t="shared" si="10"/>
        <v>5</v>
      </c>
      <c r="BN6" s="3">
        <f t="shared" si="10"/>
        <v>6</v>
      </c>
      <c r="BO6" s="3">
        <f t="shared" si="10"/>
        <v>7</v>
      </c>
      <c r="BP6" s="3">
        <f t="shared" si="10"/>
        <v>1</v>
      </c>
      <c r="BQ6" s="3">
        <f t="shared" si="10"/>
        <v>2</v>
      </c>
      <c r="BR6" s="3">
        <f t="shared" si="10"/>
        <v>3</v>
      </c>
      <c r="BS6" s="3">
        <f t="shared" si="10"/>
        <v>4</v>
      </c>
      <c r="BT6" s="3">
        <f t="shared" si="10"/>
        <v>5</v>
      </c>
      <c r="BU6" s="3">
        <f t="shared" si="10"/>
        <v>6</v>
      </c>
      <c r="BV6" s="3">
        <f t="shared" si="10"/>
        <v>7</v>
      </c>
      <c r="BW6" s="3">
        <f t="shared" si="10"/>
        <v>1</v>
      </c>
      <c r="BX6" s="3">
        <f t="shared" ref="BX6:CZ6" si="11">WEEKDAY(BX7,2)</f>
        <v>2</v>
      </c>
      <c r="BY6" s="3">
        <f t="shared" si="11"/>
        <v>3</v>
      </c>
      <c r="BZ6" s="3">
        <f t="shared" si="11"/>
        <v>4</v>
      </c>
      <c r="CA6" s="3">
        <f t="shared" si="11"/>
        <v>5</v>
      </c>
      <c r="CB6" s="3">
        <f t="shared" si="11"/>
        <v>6</v>
      </c>
      <c r="CC6" s="3">
        <f t="shared" si="11"/>
        <v>7</v>
      </c>
      <c r="CD6" s="3">
        <f t="shared" si="11"/>
        <v>1</v>
      </c>
      <c r="CE6" s="3">
        <f t="shared" si="11"/>
        <v>2</v>
      </c>
      <c r="CF6" s="3">
        <f t="shared" si="11"/>
        <v>3</v>
      </c>
      <c r="CG6" s="3">
        <f t="shared" si="11"/>
        <v>4</v>
      </c>
      <c r="CH6" s="3">
        <f t="shared" si="11"/>
        <v>5</v>
      </c>
      <c r="CI6" s="3">
        <f t="shared" si="11"/>
        <v>6</v>
      </c>
      <c r="CJ6" s="3">
        <f t="shared" si="11"/>
        <v>7</v>
      </c>
      <c r="CK6" s="3">
        <f t="shared" si="11"/>
        <v>1</v>
      </c>
      <c r="CL6" s="3">
        <f t="shared" si="11"/>
        <v>2</v>
      </c>
      <c r="CM6" s="3">
        <f t="shared" si="11"/>
        <v>3</v>
      </c>
      <c r="CN6" s="3">
        <f t="shared" si="11"/>
        <v>4</v>
      </c>
      <c r="CO6" s="3">
        <f t="shared" si="11"/>
        <v>5</v>
      </c>
      <c r="CP6" s="3">
        <f t="shared" si="11"/>
        <v>6</v>
      </c>
      <c r="CQ6" s="3">
        <f t="shared" si="11"/>
        <v>7</v>
      </c>
      <c r="CR6" s="3">
        <f t="shared" si="11"/>
        <v>1</v>
      </c>
      <c r="CS6" s="3">
        <f t="shared" si="11"/>
        <v>2</v>
      </c>
      <c r="CT6" s="3">
        <f t="shared" si="11"/>
        <v>3</v>
      </c>
      <c r="CU6" s="3">
        <f t="shared" si="11"/>
        <v>4</v>
      </c>
      <c r="CV6" s="3">
        <f t="shared" si="11"/>
        <v>5</v>
      </c>
      <c r="CW6" s="3">
        <f t="shared" si="11"/>
        <v>6</v>
      </c>
      <c r="CX6" s="3">
        <f t="shared" si="11"/>
        <v>7</v>
      </c>
      <c r="CY6" s="3">
        <f t="shared" si="11"/>
        <v>1</v>
      </c>
      <c r="CZ6" s="3">
        <f t="shared" si="11"/>
        <v>2</v>
      </c>
      <c r="DA6" s="43"/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43"/>
      <c r="DS6" s="43"/>
      <c r="DT6" s="43"/>
      <c r="DU6" s="43"/>
      <c r="DV6" s="43"/>
      <c r="DW6" s="43"/>
      <c r="DX6" s="43"/>
      <c r="DY6" s="43"/>
      <c r="DZ6" s="43"/>
      <c r="EA6" s="43"/>
      <c r="EB6" s="43"/>
      <c r="EC6" s="43"/>
      <c r="ED6" s="43"/>
      <c r="EE6" s="43"/>
      <c r="EF6" s="43"/>
      <c r="EG6" s="43"/>
      <c r="EH6" s="43"/>
      <c r="EI6" s="43"/>
      <c r="EJ6" s="43"/>
      <c r="EK6" s="43"/>
      <c r="EL6" s="43"/>
      <c r="EM6" s="43"/>
      <c r="EN6" s="43"/>
      <c r="EO6" s="43"/>
      <c r="EP6" s="43"/>
      <c r="EQ6" s="43"/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43"/>
      <c r="FI6" s="43"/>
      <c r="FJ6" s="43"/>
      <c r="FK6" s="43"/>
      <c r="FL6" s="43"/>
    </row>
    <row r="7" spans="1:168">
      <c r="A7" s="5" t="s">
        <v>1</v>
      </c>
      <c r="B7" s="5" t="s">
        <v>0</v>
      </c>
      <c r="C7" s="5" t="s">
        <v>3</v>
      </c>
      <c r="D7" s="5" t="s">
        <v>7</v>
      </c>
      <c r="E7" s="5" t="s">
        <v>4</v>
      </c>
      <c r="F7" s="5" t="s">
        <v>7</v>
      </c>
      <c r="G7" s="5" t="s">
        <v>4</v>
      </c>
      <c r="H7" s="5" t="s">
        <v>8</v>
      </c>
      <c r="I7" s="5" t="s">
        <v>2</v>
      </c>
      <c r="J7" s="10" t="s">
        <v>11</v>
      </c>
      <c r="K7" s="11" t="s">
        <v>50</v>
      </c>
      <c r="L7" s="11" t="s">
        <v>12</v>
      </c>
      <c r="M7" s="3">
        <f>DATE($C$2,$E$2,M5)</f>
        <v>41744</v>
      </c>
      <c r="N7" s="3">
        <f t="shared" ref="N7:BY7" si="12">DATE($C$2,$E$2,N5)</f>
        <v>41745</v>
      </c>
      <c r="O7" s="3">
        <f t="shared" si="12"/>
        <v>41746</v>
      </c>
      <c r="P7" s="3">
        <f t="shared" si="12"/>
        <v>41747</v>
      </c>
      <c r="Q7" s="3">
        <f t="shared" si="12"/>
        <v>41748</v>
      </c>
      <c r="R7" s="3">
        <f t="shared" si="12"/>
        <v>41749</v>
      </c>
      <c r="S7" s="3">
        <f t="shared" si="12"/>
        <v>41750</v>
      </c>
      <c r="T7" s="3">
        <f t="shared" si="12"/>
        <v>41751</v>
      </c>
      <c r="U7" s="3">
        <f t="shared" si="12"/>
        <v>41752</v>
      </c>
      <c r="V7" s="3">
        <f t="shared" si="12"/>
        <v>41753</v>
      </c>
      <c r="W7" s="3">
        <f t="shared" si="12"/>
        <v>41754</v>
      </c>
      <c r="X7" s="3">
        <f t="shared" si="12"/>
        <v>41755</v>
      </c>
      <c r="Y7" s="3">
        <f t="shared" si="12"/>
        <v>41756</v>
      </c>
      <c r="Z7" s="3">
        <f t="shared" si="12"/>
        <v>41757</v>
      </c>
      <c r="AA7" s="3">
        <f t="shared" si="12"/>
        <v>41758</v>
      </c>
      <c r="AB7" s="3">
        <f t="shared" si="12"/>
        <v>41759</v>
      </c>
      <c r="AC7" s="3">
        <f t="shared" si="12"/>
        <v>41760</v>
      </c>
      <c r="AD7" s="3">
        <f t="shared" si="12"/>
        <v>41761</v>
      </c>
      <c r="AE7" s="3">
        <f t="shared" si="12"/>
        <v>41762</v>
      </c>
      <c r="AF7" s="3">
        <f t="shared" si="12"/>
        <v>41763</v>
      </c>
      <c r="AG7" s="3">
        <f t="shared" si="12"/>
        <v>41764</v>
      </c>
      <c r="AH7" s="3">
        <f t="shared" si="12"/>
        <v>41765</v>
      </c>
      <c r="AI7" s="3">
        <f t="shared" si="12"/>
        <v>41766</v>
      </c>
      <c r="AJ7" s="3">
        <f t="shared" si="12"/>
        <v>41767</v>
      </c>
      <c r="AK7" s="3">
        <f t="shared" si="12"/>
        <v>41768</v>
      </c>
      <c r="AL7" s="3">
        <f t="shared" si="12"/>
        <v>41769</v>
      </c>
      <c r="AM7" s="3">
        <f t="shared" si="12"/>
        <v>41770</v>
      </c>
      <c r="AN7" s="3">
        <f t="shared" si="12"/>
        <v>41771</v>
      </c>
      <c r="AO7" s="3">
        <f t="shared" si="12"/>
        <v>41772</v>
      </c>
      <c r="AP7" s="3">
        <f t="shared" si="12"/>
        <v>41773</v>
      </c>
      <c r="AQ7" s="3">
        <f t="shared" si="12"/>
        <v>41774</v>
      </c>
      <c r="AR7" s="3">
        <f t="shared" si="12"/>
        <v>41775</v>
      </c>
      <c r="AS7" s="3">
        <f t="shared" si="12"/>
        <v>41776</v>
      </c>
      <c r="AT7" s="3">
        <f t="shared" si="12"/>
        <v>41777</v>
      </c>
      <c r="AU7" s="3">
        <f t="shared" si="12"/>
        <v>41778</v>
      </c>
      <c r="AV7" s="3">
        <f t="shared" si="12"/>
        <v>41779</v>
      </c>
      <c r="AW7" s="3">
        <f t="shared" si="12"/>
        <v>41780</v>
      </c>
      <c r="AX7" s="3">
        <f t="shared" si="12"/>
        <v>41781</v>
      </c>
      <c r="AY7" s="3">
        <f t="shared" si="12"/>
        <v>41782</v>
      </c>
      <c r="AZ7" s="3">
        <f t="shared" si="12"/>
        <v>41783</v>
      </c>
      <c r="BA7" s="3">
        <f t="shared" si="12"/>
        <v>41784</v>
      </c>
      <c r="BB7" s="3">
        <f t="shared" si="12"/>
        <v>41785</v>
      </c>
      <c r="BC7" s="3">
        <f t="shared" si="12"/>
        <v>41786</v>
      </c>
      <c r="BD7" s="3">
        <f t="shared" si="12"/>
        <v>41787</v>
      </c>
      <c r="BE7" s="3">
        <f t="shared" si="12"/>
        <v>41788</v>
      </c>
      <c r="BF7" s="3">
        <f t="shared" si="12"/>
        <v>41789</v>
      </c>
      <c r="BG7" s="3">
        <f t="shared" si="12"/>
        <v>41790</v>
      </c>
      <c r="BH7" s="3">
        <f t="shared" si="12"/>
        <v>41791</v>
      </c>
      <c r="BI7" s="3">
        <f t="shared" si="12"/>
        <v>41792</v>
      </c>
      <c r="BJ7" s="3">
        <f t="shared" si="12"/>
        <v>41793</v>
      </c>
      <c r="BK7" s="3">
        <f t="shared" si="12"/>
        <v>41794</v>
      </c>
      <c r="BL7" s="3">
        <f t="shared" si="12"/>
        <v>41795</v>
      </c>
      <c r="BM7" s="3">
        <f t="shared" si="12"/>
        <v>41796</v>
      </c>
      <c r="BN7" s="3">
        <f t="shared" si="12"/>
        <v>41797</v>
      </c>
      <c r="BO7" s="3">
        <f t="shared" si="12"/>
        <v>41798</v>
      </c>
      <c r="BP7" s="3">
        <f t="shared" si="12"/>
        <v>41799</v>
      </c>
      <c r="BQ7" s="3">
        <f t="shared" si="12"/>
        <v>41800</v>
      </c>
      <c r="BR7" s="3">
        <f t="shared" si="12"/>
        <v>41801</v>
      </c>
      <c r="BS7" s="3">
        <f t="shared" si="12"/>
        <v>41802</v>
      </c>
      <c r="BT7" s="3">
        <f t="shared" si="12"/>
        <v>41803</v>
      </c>
      <c r="BU7" s="3">
        <f t="shared" si="12"/>
        <v>41804</v>
      </c>
      <c r="BV7" s="3">
        <f t="shared" si="12"/>
        <v>41805</v>
      </c>
      <c r="BW7" s="3">
        <f t="shared" si="12"/>
        <v>41806</v>
      </c>
      <c r="BX7" s="3">
        <f t="shared" si="12"/>
        <v>41807</v>
      </c>
      <c r="BY7" s="3">
        <f t="shared" si="12"/>
        <v>41808</v>
      </c>
      <c r="BZ7" s="3">
        <f t="shared" ref="BZ7:CV7" si="13">DATE($C$2,$E$2,BZ5)</f>
        <v>41809</v>
      </c>
      <c r="CA7" s="3">
        <f t="shared" si="13"/>
        <v>41810</v>
      </c>
      <c r="CB7" s="3">
        <f t="shared" si="13"/>
        <v>41811</v>
      </c>
      <c r="CC7" s="3">
        <f t="shared" si="13"/>
        <v>41812</v>
      </c>
      <c r="CD7" s="3">
        <f t="shared" si="13"/>
        <v>41813</v>
      </c>
      <c r="CE7" s="3">
        <f t="shared" si="13"/>
        <v>41814</v>
      </c>
      <c r="CF7" s="3">
        <f t="shared" si="13"/>
        <v>41815</v>
      </c>
      <c r="CG7" s="3">
        <f t="shared" si="13"/>
        <v>41816</v>
      </c>
      <c r="CH7" s="3">
        <f t="shared" si="13"/>
        <v>41817</v>
      </c>
      <c r="CI7" s="3">
        <f t="shared" si="13"/>
        <v>41818</v>
      </c>
      <c r="CJ7" s="3">
        <f t="shared" si="13"/>
        <v>41819</v>
      </c>
      <c r="CK7" s="3">
        <f t="shared" si="13"/>
        <v>41820</v>
      </c>
      <c r="CL7" s="3">
        <f t="shared" si="13"/>
        <v>41821</v>
      </c>
      <c r="CM7" s="3">
        <f t="shared" si="13"/>
        <v>41822</v>
      </c>
      <c r="CN7" s="3">
        <f t="shared" si="13"/>
        <v>41823</v>
      </c>
      <c r="CO7" s="3">
        <f t="shared" si="13"/>
        <v>41824</v>
      </c>
      <c r="CP7" s="3">
        <f t="shared" si="13"/>
        <v>41825</v>
      </c>
      <c r="CQ7" s="3">
        <f t="shared" si="13"/>
        <v>41826</v>
      </c>
      <c r="CR7" s="3">
        <f t="shared" si="13"/>
        <v>41827</v>
      </c>
      <c r="CS7" s="3">
        <f t="shared" si="13"/>
        <v>41828</v>
      </c>
      <c r="CT7" s="3">
        <f t="shared" si="13"/>
        <v>41829</v>
      </c>
      <c r="CU7" s="3">
        <f t="shared" si="13"/>
        <v>41830</v>
      </c>
      <c r="CV7" s="3">
        <f t="shared" si="13"/>
        <v>41831</v>
      </c>
      <c r="CW7" s="3">
        <f t="shared" ref="CW7:DB7" si="14">DATE($C$2,$E$2,CW5)</f>
        <v>41832</v>
      </c>
      <c r="CX7" s="3">
        <f>DATE($C$2,$E$2,CX5)</f>
        <v>41833</v>
      </c>
      <c r="CY7" s="3">
        <f>DATE($C$2,$E$2,CY5)</f>
        <v>41834</v>
      </c>
      <c r="CZ7" s="3">
        <f>DATE($C$2,$E$2,CZ5)</f>
        <v>41835</v>
      </c>
      <c r="DA7" s="44">
        <f t="shared" si="14"/>
        <v>41736</v>
      </c>
      <c r="DB7" s="44">
        <f t="shared" si="14"/>
        <v>41743</v>
      </c>
      <c r="DC7" s="44">
        <f t="shared" ref="DC7:FL7" si="15">DATE($C$2,$E$2,DC5)</f>
        <v>41750</v>
      </c>
      <c r="DD7" s="44">
        <f t="shared" si="15"/>
        <v>41757</v>
      </c>
      <c r="DE7" s="44">
        <f t="shared" si="15"/>
        <v>41764</v>
      </c>
      <c r="DF7" s="44">
        <f t="shared" si="15"/>
        <v>41771</v>
      </c>
      <c r="DG7" s="44">
        <f t="shared" si="15"/>
        <v>41778</v>
      </c>
      <c r="DH7" s="44">
        <f t="shared" si="15"/>
        <v>41785</v>
      </c>
      <c r="DI7" s="44">
        <f t="shared" si="15"/>
        <v>41792</v>
      </c>
      <c r="DJ7" s="44">
        <f t="shared" si="15"/>
        <v>41799</v>
      </c>
      <c r="DK7" s="44">
        <f t="shared" si="15"/>
        <v>41806</v>
      </c>
      <c r="DL7" s="44">
        <f t="shared" si="15"/>
        <v>41813</v>
      </c>
      <c r="DM7" s="44">
        <f t="shared" si="15"/>
        <v>41820</v>
      </c>
      <c r="DN7" s="44">
        <f t="shared" si="15"/>
        <v>41827</v>
      </c>
      <c r="DO7" s="44">
        <f t="shared" si="15"/>
        <v>41834</v>
      </c>
      <c r="DP7" s="44">
        <f t="shared" si="15"/>
        <v>41841</v>
      </c>
      <c r="DQ7" s="44">
        <f t="shared" si="15"/>
        <v>41848</v>
      </c>
      <c r="DR7" s="44">
        <f t="shared" si="15"/>
        <v>41855</v>
      </c>
      <c r="DS7" s="44">
        <f t="shared" si="15"/>
        <v>41862</v>
      </c>
      <c r="DT7" s="44">
        <f t="shared" si="15"/>
        <v>41869</v>
      </c>
      <c r="DU7" s="44">
        <f t="shared" si="15"/>
        <v>41876</v>
      </c>
      <c r="DV7" s="44">
        <f t="shared" si="15"/>
        <v>41883</v>
      </c>
      <c r="DW7" s="44">
        <f t="shared" si="15"/>
        <v>41890</v>
      </c>
      <c r="DX7" s="44">
        <f t="shared" si="15"/>
        <v>41897</v>
      </c>
      <c r="DY7" s="44">
        <f t="shared" si="15"/>
        <v>41904</v>
      </c>
      <c r="DZ7" s="44">
        <f t="shared" si="15"/>
        <v>41911</v>
      </c>
      <c r="EA7" s="44">
        <f t="shared" si="15"/>
        <v>41918</v>
      </c>
      <c r="EB7" s="44">
        <f t="shared" si="15"/>
        <v>41925</v>
      </c>
      <c r="EC7" s="44">
        <f t="shared" si="15"/>
        <v>41932</v>
      </c>
      <c r="ED7" s="44">
        <f t="shared" si="15"/>
        <v>41939</v>
      </c>
      <c r="EE7" s="44">
        <f t="shared" si="15"/>
        <v>41946</v>
      </c>
      <c r="EF7" s="44">
        <f t="shared" si="15"/>
        <v>41953</v>
      </c>
      <c r="EG7" s="44">
        <f t="shared" si="15"/>
        <v>41960</v>
      </c>
      <c r="EH7" s="44">
        <f t="shared" si="15"/>
        <v>41967</v>
      </c>
      <c r="EI7" s="44">
        <f t="shared" si="15"/>
        <v>41974</v>
      </c>
      <c r="EJ7" s="44">
        <f t="shared" si="15"/>
        <v>41981</v>
      </c>
      <c r="EK7" s="44">
        <f t="shared" si="15"/>
        <v>41988</v>
      </c>
      <c r="EL7" s="44">
        <f t="shared" si="15"/>
        <v>41995</v>
      </c>
      <c r="EM7" s="44">
        <f t="shared" si="15"/>
        <v>42002</v>
      </c>
      <c r="EN7" s="44">
        <f t="shared" si="15"/>
        <v>42009</v>
      </c>
      <c r="EO7" s="44">
        <f t="shared" si="15"/>
        <v>42016</v>
      </c>
      <c r="EP7" s="44">
        <f t="shared" si="15"/>
        <v>42023</v>
      </c>
      <c r="EQ7" s="44">
        <f t="shared" si="15"/>
        <v>42030</v>
      </c>
      <c r="ER7" s="44">
        <f t="shared" si="15"/>
        <v>42037</v>
      </c>
      <c r="ES7" s="44">
        <f t="shared" si="15"/>
        <v>42044</v>
      </c>
      <c r="ET7" s="44">
        <f t="shared" si="15"/>
        <v>42051</v>
      </c>
      <c r="EU7" s="44">
        <f t="shared" si="15"/>
        <v>42058</v>
      </c>
      <c r="EV7" s="44">
        <f t="shared" si="15"/>
        <v>42065</v>
      </c>
      <c r="EW7" s="44">
        <f t="shared" si="15"/>
        <v>42072</v>
      </c>
      <c r="EX7" s="44">
        <f t="shared" si="15"/>
        <v>42079</v>
      </c>
      <c r="EY7" s="44">
        <f t="shared" si="15"/>
        <v>42086</v>
      </c>
      <c r="EZ7" s="44">
        <f t="shared" si="15"/>
        <v>42093</v>
      </c>
      <c r="FA7" s="44">
        <f t="shared" si="15"/>
        <v>42100</v>
      </c>
      <c r="FB7" s="44">
        <f t="shared" si="15"/>
        <v>42107</v>
      </c>
      <c r="FC7" s="44">
        <f t="shared" si="15"/>
        <v>42114</v>
      </c>
      <c r="FD7" s="44">
        <f t="shared" si="15"/>
        <v>42121</v>
      </c>
      <c r="FE7" s="44">
        <f t="shared" si="15"/>
        <v>42128</v>
      </c>
      <c r="FF7" s="44">
        <f t="shared" si="15"/>
        <v>42135</v>
      </c>
      <c r="FG7" s="44">
        <f t="shared" si="15"/>
        <v>42142</v>
      </c>
      <c r="FH7" s="44">
        <f t="shared" si="15"/>
        <v>42149</v>
      </c>
      <c r="FI7" s="44">
        <f t="shared" si="15"/>
        <v>42156</v>
      </c>
      <c r="FJ7" s="44">
        <f t="shared" si="15"/>
        <v>42163</v>
      </c>
      <c r="FK7" s="44">
        <f t="shared" si="15"/>
        <v>42170</v>
      </c>
      <c r="FL7" s="44">
        <f t="shared" si="15"/>
        <v>42177</v>
      </c>
    </row>
    <row r="8" spans="1:168" ht="33.75" customHeight="1">
      <c r="A8" s="48"/>
      <c r="B8" s="49"/>
      <c r="C8" s="50"/>
      <c r="D8" s="51"/>
      <c r="E8" s="51"/>
      <c r="F8" s="51"/>
      <c r="G8" s="51"/>
      <c r="H8" s="52"/>
      <c r="I8" s="53"/>
      <c r="J8" s="50"/>
      <c r="K8" s="54"/>
      <c r="L8" s="55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56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56"/>
      <c r="DK8" s="56"/>
      <c r="DL8" s="56"/>
      <c r="DM8" s="56"/>
      <c r="DN8" s="56"/>
      <c r="DO8" s="56"/>
      <c r="DP8" s="56"/>
      <c r="DQ8" s="56"/>
      <c r="DR8" s="56"/>
      <c r="DS8" s="56"/>
      <c r="DT8" s="56"/>
      <c r="DU8" s="56"/>
      <c r="DV8" s="56"/>
      <c r="DW8" s="56"/>
      <c r="DX8" s="56"/>
      <c r="DY8" s="56"/>
      <c r="DZ8" s="56"/>
      <c r="EA8" s="56"/>
      <c r="EB8" s="56"/>
      <c r="EC8" s="56"/>
      <c r="ED8" s="56"/>
      <c r="EE8" s="56"/>
      <c r="EF8" s="56"/>
      <c r="EG8" s="56"/>
      <c r="EH8" s="56"/>
      <c r="EI8" s="56"/>
      <c r="EJ8" s="56"/>
      <c r="EK8" s="56"/>
      <c r="EL8" s="56"/>
      <c r="EM8" s="56"/>
      <c r="EN8" s="56"/>
      <c r="EO8" s="56"/>
      <c r="EP8" s="56"/>
      <c r="EQ8" s="56"/>
      <c r="ER8" s="56"/>
      <c r="ES8" s="56"/>
      <c r="ET8" s="56"/>
      <c r="EU8" s="56"/>
      <c r="EV8" s="56"/>
      <c r="EW8" s="56"/>
      <c r="EX8" s="56"/>
      <c r="EY8" s="56"/>
      <c r="EZ8" s="56"/>
      <c r="FA8" s="56"/>
      <c r="FB8" s="56"/>
      <c r="FC8" s="56"/>
      <c r="FD8" s="56"/>
      <c r="FE8" s="56"/>
      <c r="FF8" s="56"/>
      <c r="FG8" s="56"/>
      <c r="FH8" s="56"/>
      <c r="FI8" s="56"/>
      <c r="FJ8" s="56"/>
      <c r="FK8" s="56"/>
      <c r="FL8" s="56"/>
    </row>
    <row r="9" spans="1:168">
      <c r="A9" s="12">
        <v>1</v>
      </c>
      <c r="B9" s="14" t="s">
        <v>48</v>
      </c>
      <c r="C9" s="14"/>
      <c r="D9" s="14">
        <f ca="1">I1+5</f>
        <v>41763</v>
      </c>
      <c r="E9" s="14">
        <f ca="1">D9+5</f>
        <v>41768</v>
      </c>
      <c r="F9" s="14"/>
      <c r="G9" s="14"/>
      <c r="H9" s="28">
        <v>0</v>
      </c>
      <c r="I9" s="14" t="s">
        <v>75</v>
      </c>
      <c r="J9" s="14" t="s">
        <v>88</v>
      </c>
      <c r="K9" s="13"/>
      <c r="L9" s="64"/>
      <c r="M9" s="1" t="str">
        <f t="shared" ref="M9:N17" ca="1" si="16">IF(M$7&lt;=$E9,IF(M$7&gt;=$D9,IF(((M$7-$D9+1)/($E9-$D9+1))&lt;=$H9,$E$5,IF(M$7&lt;$I$1,$H$5,"")),""),"")</f>
        <v/>
      </c>
      <c r="N9" s="1" t="str">
        <f t="shared" ca="1" si="16"/>
        <v/>
      </c>
      <c r="O9" s="1" t="str">
        <f t="shared" ref="O9:AD17" ca="1" si="17">IF(O$7&lt;=$E9,IF(O$7&gt;=$D9,IF(((O$7-$D9+1)/($E9-$D9+1))&lt;=$H9,$E$5,IF(O$7&lt;$I$1,$H$5,"")),""),"")</f>
        <v/>
      </c>
      <c r="P9" s="1" t="str">
        <f t="shared" ca="1" si="17"/>
        <v/>
      </c>
      <c r="Q9" s="1" t="str">
        <f t="shared" ca="1" si="17"/>
        <v/>
      </c>
      <c r="R9" s="1" t="str">
        <f t="shared" ca="1" si="17"/>
        <v/>
      </c>
      <c r="S9" s="1" t="str">
        <f t="shared" ca="1" si="17"/>
        <v/>
      </c>
      <c r="T9" s="1" t="str">
        <f t="shared" ca="1" si="17"/>
        <v/>
      </c>
      <c r="U9" s="1" t="str">
        <f t="shared" ca="1" si="17"/>
        <v/>
      </c>
      <c r="V9" s="1" t="str">
        <f t="shared" ca="1" si="17"/>
        <v/>
      </c>
      <c r="W9" s="1" t="str">
        <f t="shared" ca="1" si="17"/>
        <v/>
      </c>
      <c r="X9" s="1" t="str">
        <f t="shared" ca="1" si="17"/>
        <v/>
      </c>
      <c r="Y9" s="1" t="str">
        <f t="shared" ca="1" si="17"/>
        <v/>
      </c>
      <c r="Z9" s="1" t="str">
        <f t="shared" ca="1" si="17"/>
        <v/>
      </c>
      <c r="AA9" s="1" t="str">
        <f t="shared" ca="1" si="17"/>
        <v/>
      </c>
      <c r="AB9" s="1" t="str">
        <f t="shared" ca="1" si="17"/>
        <v/>
      </c>
      <c r="AC9" s="1" t="str">
        <f t="shared" ca="1" si="17"/>
        <v/>
      </c>
      <c r="AD9" s="1" t="str">
        <f t="shared" ca="1" si="17"/>
        <v/>
      </c>
      <c r="AE9" s="1" t="str">
        <f t="shared" ref="AE9:AT17" ca="1" si="18">IF(AE$7&lt;=$E9,IF(AE$7&gt;=$D9,IF(((AE$7-$D9+1)/($E9-$D9+1))&lt;=$H9,$E$5,IF(AE$7&lt;$I$1,$H$5,"")),""),"")</f>
        <v/>
      </c>
      <c r="AF9" s="1" t="str">
        <f t="shared" ca="1" si="18"/>
        <v/>
      </c>
      <c r="AG9" s="1" t="str">
        <f t="shared" ca="1" si="18"/>
        <v/>
      </c>
      <c r="AH9" s="1" t="str">
        <f t="shared" ca="1" si="18"/>
        <v/>
      </c>
      <c r="AI9" s="1" t="str">
        <f t="shared" ca="1" si="18"/>
        <v/>
      </c>
      <c r="AJ9" s="1" t="str">
        <f t="shared" ca="1" si="18"/>
        <v/>
      </c>
      <c r="AK9" s="1" t="str">
        <f t="shared" ca="1" si="18"/>
        <v/>
      </c>
      <c r="AL9" s="1" t="str">
        <f t="shared" ca="1" si="18"/>
        <v/>
      </c>
      <c r="AM9" s="1" t="str">
        <f t="shared" ca="1" si="18"/>
        <v/>
      </c>
      <c r="AN9" s="1" t="str">
        <f t="shared" ca="1" si="18"/>
        <v/>
      </c>
      <c r="AO9" s="1" t="str">
        <f t="shared" ca="1" si="18"/>
        <v/>
      </c>
      <c r="AP9" s="1" t="str">
        <f t="shared" ca="1" si="18"/>
        <v/>
      </c>
      <c r="AQ9" s="1" t="str">
        <f t="shared" ca="1" si="18"/>
        <v/>
      </c>
      <c r="AR9" s="1" t="str">
        <f t="shared" ca="1" si="18"/>
        <v/>
      </c>
      <c r="AS9" s="1" t="str">
        <f t="shared" ca="1" si="18"/>
        <v/>
      </c>
      <c r="AT9" s="1" t="str">
        <f t="shared" ca="1" si="18"/>
        <v/>
      </c>
      <c r="AU9" s="1" t="str">
        <f t="shared" ref="AU9:BJ17" ca="1" si="19">IF(AU$7&lt;=$E9,IF(AU$7&gt;=$D9,IF(((AU$7-$D9+1)/($E9-$D9+1))&lt;=$H9,$E$5,IF(AU$7&lt;$I$1,$H$5,"")),""),"")</f>
        <v/>
      </c>
      <c r="AV9" s="1" t="str">
        <f t="shared" ca="1" si="19"/>
        <v/>
      </c>
      <c r="AW9" s="1" t="str">
        <f t="shared" ca="1" si="19"/>
        <v/>
      </c>
      <c r="AX9" s="1" t="str">
        <f t="shared" ca="1" si="19"/>
        <v/>
      </c>
      <c r="AY9" s="1" t="str">
        <f t="shared" ca="1" si="19"/>
        <v/>
      </c>
      <c r="AZ9" s="1" t="str">
        <f t="shared" ca="1" si="19"/>
        <v/>
      </c>
      <c r="BA9" s="1" t="str">
        <f t="shared" ca="1" si="19"/>
        <v/>
      </c>
      <c r="BB9" s="1" t="str">
        <f t="shared" ca="1" si="19"/>
        <v/>
      </c>
      <c r="BC9" s="1" t="str">
        <f t="shared" ca="1" si="19"/>
        <v/>
      </c>
      <c r="BD9" s="1" t="str">
        <f t="shared" ca="1" si="19"/>
        <v/>
      </c>
      <c r="BE9" s="1" t="str">
        <f t="shared" ca="1" si="19"/>
        <v/>
      </c>
      <c r="BF9" s="1" t="str">
        <f t="shared" ca="1" si="19"/>
        <v/>
      </c>
      <c r="BG9" s="1" t="str">
        <f t="shared" ca="1" si="19"/>
        <v/>
      </c>
      <c r="BH9" s="1" t="str">
        <f t="shared" ca="1" si="19"/>
        <v/>
      </c>
      <c r="BI9" s="1" t="str">
        <f t="shared" ca="1" si="19"/>
        <v/>
      </c>
      <c r="BJ9" s="1" t="str">
        <f t="shared" ca="1" si="19"/>
        <v/>
      </c>
      <c r="BK9" s="1" t="str">
        <f t="shared" ref="BK9:BZ17" ca="1" si="20">IF(BK$7&lt;=$E9,IF(BK$7&gt;=$D9,IF(((BK$7-$D9+1)/($E9-$D9+1))&lt;=$H9,$E$5,IF(BK$7&lt;$I$1,$H$5,"")),""),"")</f>
        <v/>
      </c>
      <c r="BL9" s="1" t="str">
        <f t="shared" ca="1" si="20"/>
        <v/>
      </c>
      <c r="BM9" s="1" t="str">
        <f t="shared" ca="1" si="20"/>
        <v/>
      </c>
      <c r="BN9" s="1" t="str">
        <f t="shared" ca="1" si="20"/>
        <v/>
      </c>
      <c r="BO9" s="1" t="str">
        <f t="shared" ca="1" si="20"/>
        <v/>
      </c>
      <c r="BP9" s="1" t="str">
        <f t="shared" ca="1" si="20"/>
        <v/>
      </c>
      <c r="BQ9" s="1" t="str">
        <f t="shared" ca="1" si="20"/>
        <v/>
      </c>
      <c r="BR9" s="1" t="str">
        <f t="shared" ca="1" si="20"/>
        <v/>
      </c>
      <c r="BS9" s="1" t="str">
        <f t="shared" ca="1" si="20"/>
        <v/>
      </c>
      <c r="BT9" s="1" t="str">
        <f t="shared" ca="1" si="20"/>
        <v/>
      </c>
      <c r="BU9" s="1" t="str">
        <f t="shared" ca="1" si="20"/>
        <v/>
      </c>
      <c r="BV9" s="1" t="str">
        <f t="shared" ca="1" si="20"/>
        <v/>
      </c>
      <c r="BW9" s="1" t="str">
        <f t="shared" ca="1" si="20"/>
        <v/>
      </c>
      <c r="BX9" s="1" t="str">
        <f t="shared" ca="1" si="20"/>
        <v/>
      </c>
      <c r="BY9" s="1" t="str">
        <f t="shared" ca="1" si="20"/>
        <v/>
      </c>
      <c r="BZ9" s="1" t="str">
        <f t="shared" ca="1" si="20"/>
        <v/>
      </c>
      <c r="CA9" s="1" t="str">
        <f t="shared" ref="CA9:CP17" ca="1" si="21">IF(CA$7&lt;=$E9,IF(CA$7&gt;=$D9,IF(((CA$7-$D9+1)/($E9-$D9+1))&lt;=$H9,$E$5,IF(CA$7&lt;$I$1,$H$5,"")),""),"")</f>
        <v/>
      </c>
      <c r="CB9" s="1" t="str">
        <f t="shared" ca="1" si="21"/>
        <v/>
      </c>
      <c r="CC9" s="1" t="str">
        <f t="shared" ca="1" si="21"/>
        <v/>
      </c>
      <c r="CD9" s="1" t="str">
        <f t="shared" ca="1" si="21"/>
        <v/>
      </c>
      <c r="CE9" s="1" t="str">
        <f t="shared" ca="1" si="21"/>
        <v/>
      </c>
      <c r="CF9" s="1" t="str">
        <f t="shared" ca="1" si="21"/>
        <v/>
      </c>
      <c r="CG9" s="1" t="str">
        <f t="shared" ca="1" si="21"/>
        <v/>
      </c>
      <c r="CH9" s="1" t="str">
        <f t="shared" ca="1" si="21"/>
        <v/>
      </c>
      <c r="CI9" s="1" t="str">
        <f t="shared" ca="1" si="21"/>
        <v/>
      </c>
      <c r="CJ9" s="1" t="str">
        <f t="shared" ca="1" si="21"/>
        <v/>
      </c>
      <c r="CK9" s="1" t="str">
        <f t="shared" ca="1" si="21"/>
        <v/>
      </c>
      <c r="CL9" s="1" t="str">
        <f t="shared" ca="1" si="21"/>
        <v/>
      </c>
      <c r="CM9" s="1" t="str">
        <f t="shared" ca="1" si="21"/>
        <v/>
      </c>
      <c r="CN9" s="1" t="str">
        <f t="shared" ca="1" si="21"/>
        <v/>
      </c>
      <c r="CO9" s="1" t="str">
        <f t="shared" ca="1" si="21"/>
        <v/>
      </c>
      <c r="CP9" s="1" t="str">
        <f t="shared" ca="1" si="21"/>
        <v/>
      </c>
      <c r="CQ9" s="1" t="str">
        <f t="shared" ref="CQ9:CZ17" ca="1" si="22">IF(CQ$7&lt;=$E9,IF(CQ$7&gt;=$D9,IF(((CQ$7-$D9+1)/($E9-$D9+1))&lt;=$H9,$E$5,IF(CQ$7&lt;$I$1,$H$5,"")),""),"")</f>
        <v/>
      </c>
      <c r="CR9" s="1" t="str">
        <f t="shared" ca="1" si="22"/>
        <v/>
      </c>
      <c r="CS9" s="1" t="str">
        <f t="shared" ca="1" si="22"/>
        <v/>
      </c>
      <c r="CT9" s="1" t="str">
        <f t="shared" ca="1" si="22"/>
        <v/>
      </c>
      <c r="CU9" s="1" t="str">
        <f t="shared" ca="1" si="22"/>
        <v/>
      </c>
      <c r="CV9" s="1" t="str">
        <f t="shared" ca="1" si="22"/>
        <v/>
      </c>
      <c r="CW9" s="1" t="str">
        <f t="shared" ca="1" si="22"/>
        <v/>
      </c>
      <c r="CX9" s="1" t="str">
        <f t="shared" ca="1" si="22"/>
        <v/>
      </c>
      <c r="CY9" s="1" t="str">
        <f t="shared" ca="1" si="22"/>
        <v/>
      </c>
      <c r="CZ9" s="1" t="str">
        <f t="shared" ca="1" si="22"/>
        <v/>
      </c>
      <c r="DA9" s="1" t="str">
        <f t="shared" ref="DA9:DJ16" ca="1" si="23">IF(AND(DA$7&lt;=$E9,DA$7+6&gt;=$D9),IF((((IF(DA$7&gt;$D9,DA$7-$D9+1,1))+(IF(AND($I$1&gt;DA$7,$I$1&lt;=DA$7+6),IF(DA$7&gt;$I$1,$I$1-DA$7,0),0)))/($E9-$D9+1))&lt;=$H9,$E$5,IF(DA$7&lt;$I$1,$H$5,"")),"")</f>
        <v/>
      </c>
      <c r="DB9" s="1" t="str">
        <f t="shared" ca="1" si="23"/>
        <v/>
      </c>
      <c r="DC9" s="1" t="str">
        <f t="shared" ca="1" si="23"/>
        <v/>
      </c>
      <c r="DD9" s="1" t="str">
        <f t="shared" ca="1" si="23"/>
        <v>◇</v>
      </c>
      <c r="DE9" s="1" t="str">
        <f t="shared" ca="1" si="23"/>
        <v/>
      </c>
      <c r="DF9" s="1" t="str">
        <f t="shared" ca="1" si="23"/>
        <v/>
      </c>
      <c r="DG9" s="1" t="str">
        <f t="shared" ca="1" si="23"/>
        <v/>
      </c>
      <c r="DH9" s="1" t="str">
        <f t="shared" ca="1" si="23"/>
        <v/>
      </c>
      <c r="DI9" s="1" t="str">
        <f t="shared" ca="1" si="23"/>
        <v/>
      </c>
      <c r="DJ9" s="1" t="str">
        <f t="shared" ca="1" si="23"/>
        <v/>
      </c>
      <c r="DK9" s="1" t="str">
        <f t="shared" ref="DK9:DT16" ca="1" si="24">IF(AND(DK$7&lt;=$E9,DK$7+6&gt;=$D9),IF((((IF(DK$7&gt;$D9,DK$7-$D9+1,1))+(IF(AND($I$1&gt;DK$7,$I$1&lt;=DK$7+6),IF(DK$7&gt;$I$1,$I$1-DK$7,0),0)))/($E9-$D9+1))&lt;=$H9,$E$5,IF(DK$7&lt;$I$1,$H$5,"")),"")</f>
        <v/>
      </c>
      <c r="DL9" s="1" t="str">
        <f t="shared" ca="1" si="24"/>
        <v/>
      </c>
      <c r="DM9" s="1" t="str">
        <f t="shared" ca="1" si="24"/>
        <v/>
      </c>
      <c r="DN9" s="1" t="str">
        <f t="shared" ca="1" si="24"/>
        <v/>
      </c>
      <c r="DO9" s="1" t="str">
        <f t="shared" ca="1" si="24"/>
        <v/>
      </c>
      <c r="DP9" s="1" t="str">
        <f t="shared" ca="1" si="24"/>
        <v/>
      </c>
      <c r="DQ9" s="1" t="str">
        <f t="shared" ca="1" si="24"/>
        <v/>
      </c>
      <c r="DR9" s="1" t="str">
        <f t="shared" ca="1" si="24"/>
        <v/>
      </c>
      <c r="DS9" s="1" t="str">
        <f t="shared" ca="1" si="24"/>
        <v/>
      </c>
      <c r="DT9" s="1" t="str">
        <f t="shared" ca="1" si="24"/>
        <v/>
      </c>
      <c r="DU9" s="1" t="str">
        <f t="shared" ref="DU9:ED16" ca="1" si="25">IF(AND(DU$7&lt;=$E9,DU$7+6&gt;=$D9),IF((((IF(DU$7&gt;$D9,DU$7-$D9+1,1))+(IF(AND($I$1&gt;DU$7,$I$1&lt;=DU$7+6),IF(DU$7&gt;$I$1,$I$1-DU$7,0),0)))/($E9-$D9+1))&lt;=$H9,$E$5,IF(DU$7&lt;$I$1,$H$5,"")),"")</f>
        <v/>
      </c>
      <c r="DV9" s="1" t="str">
        <f t="shared" ca="1" si="25"/>
        <v/>
      </c>
      <c r="DW9" s="1" t="str">
        <f t="shared" ca="1" si="25"/>
        <v/>
      </c>
      <c r="DX9" s="1" t="str">
        <f t="shared" ca="1" si="25"/>
        <v/>
      </c>
      <c r="DY9" s="1" t="str">
        <f t="shared" ca="1" si="25"/>
        <v/>
      </c>
      <c r="DZ9" s="1" t="str">
        <f t="shared" ca="1" si="25"/>
        <v/>
      </c>
      <c r="EA9" s="1" t="str">
        <f t="shared" ca="1" si="25"/>
        <v/>
      </c>
      <c r="EB9" s="1" t="str">
        <f t="shared" ca="1" si="25"/>
        <v/>
      </c>
      <c r="EC9" s="1" t="str">
        <f t="shared" ca="1" si="25"/>
        <v/>
      </c>
      <c r="ED9" s="1" t="str">
        <f t="shared" ca="1" si="25"/>
        <v/>
      </c>
      <c r="EE9" s="1" t="str">
        <f t="shared" ref="EE9:EN16" ca="1" si="26">IF(AND(EE$7&lt;=$E9,EE$7+6&gt;=$D9),IF((((IF(EE$7&gt;$D9,EE$7-$D9+1,1))+(IF(AND($I$1&gt;EE$7,$I$1&lt;=EE$7+6),IF(EE$7&gt;$I$1,$I$1-EE$7,0),0)))/($E9-$D9+1))&lt;=$H9,$E$5,IF(EE$7&lt;$I$1,$H$5,"")),"")</f>
        <v/>
      </c>
      <c r="EF9" s="1" t="str">
        <f t="shared" ca="1" si="26"/>
        <v/>
      </c>
      <c r="EG9" s="1" t="str">
        <f t="shared" ca="1" si="26"/>
        <v/>
      </c>
      <c r="EH9" s="1" t="str">
        <f t="shared" ca="1" si="26"/>
        <v/>
      </c>
      <c r="EI9" s="1" t="str">
        <f t="shared" ca="1" si="26"/>
        <v/>
      </c>
      <c r="EJ9" s="1" t="str">
        <f t="shared" ca="1" si="26"/>
        <v/>
      </c>
      <c r="EK9" s="1" t="str">
        <f t="shared" ca="1" si="26"/>
        <v/>
      </c>
      <c r="EL9" s="1" t="str">
        <f t="shared" ca="1" si="26"/>
        <v/>
      </c>
      <c r="EM9" s="1" t="str">
        <f t="shared" ca="1" si="26"/>
        <v/>
      </c>
      <c r="EN9" s="1" t="str">
        <f t="shared" ca="1" si="26"/>
        <v/>
      </c>
      <c r="EO9" s="1" t="str">
        <f t="shared" ref="EO9:EX16" ca="1" si="27">IF(AND(EO$7&lt;=$E9,EO$7+6&gt;=$D9),IF((((IF(EO$7&gt;$D9,EO$7-$D9+1,1))+(IF(AND($I$1&gt;EO$7,$I$1&lt;=EO$7+6),IF(EO$7&gt;$I$1,$I$1-EO$7,0),0)))/($E9-$D9+1))&lt;=$H9,$E$5,IF(EO$7&lt;$I$1,$H$5,"")),"")</f>
        <v/>
      </c>
      <c r="EP9" s="1" t="str">
        <f t="shared" ca="1" si="27"/>
        <v/>
      </c>
      <c r="EQ9" s="1" t="str">
        <f t="shared" ca="1" si="27"/>
        <v/>
      </c>
      <c r="ER9" s="1" t="str">
        <f t="shared" ca="1" si="27"/>
        <v/>
      </c>
      <c r="ES9" s="1" t="str">
        <f t="shared" ca="1" si="27"/>
        <v/>
      </c>
      <c r="ET9" s="1" t="str">
        <f t="shared" ca="1" si="27"/>
        <v/>
      </c>
      <c r="EU9" s="1" t="str">
        <f t="shared" ca="1" si="27"/>
        <v/>
      </c>
      <c r="EV9" s="1" t="str">
        <f t="shared" ca="1" si="27"/>
        <v/>
      </c>
      <c r="EW9" s="1" t="str">
        <f t="shared" ca="1" si="27"/>
        <v/>
      </c>
      <c r="EX9" s="1" t="str">
        <f t="shared" ca="1" si="27"/>
        <v/>
      </c>
      <c r="EY9" s="1" t="str">
        <f t="shared" ref="EY9:FL16" ca="1" si="28">IF(AND(EY$7&lt;=$E9,EY$7+6&gt;=$D9),IF((((IF(EY$7&gt;$D9,EY$7-$D9+1,1))+(IF(AND($I$1&gt;EY$7,$I$1&lt;=EY$7+6),IF(EY$7&gt;$I$1,$I$1-EY$7,0),0)))/($E9-$D9+1))&lt;=$H9,$E$5,IF(EY$7&lt;$I$1,$H$5,"")),"")</f>
        <v/>
      </c>
      <c r="EZ9" s="1" t="str">
        <f t="shared" ca="1" si="28"/>
        <v/>
      </c>
      <c r="FA9" s="1" t="str">
        <f t="shared" ca="1" si="28"/>
        <v/>
      </c>
      <c r="FB9" s="1" t="str">
        <f t="shared" ca="1" si="28"/>
        <v/>
      </c>
      <c r="FC9" s="1" t="str">
        <f t="shared" ca="1" si="28"/>
        <v/>
      </c>
      <c r="FD9" s="1" t="str">
        <f t="shared" ca="1" si="28"/>
        <v/>
      </c>
      <c r="FE9" s="1" t="str">
        <f t="shared" ca="1" si="28"/>
        <v/>
      </c>
      <c r="FF9" s="1" t="str">
        <f t="shared" ca="1" si="28"/>
        <v/>
      </c>
      <c r="FG9" s="1" t="str">
        <f t="shared" ca="1" si="28"/>
        <v/>
      </c>
      <c r="FH9" s="1" t="str">
        <f t="shared" ca="1" si="28"/>
        <v/>
      </c>
      <c r="FI9" s="1" t="str">
        <f t="shared" ca="1" si="28"/>
        <v/>
      </c>
      <c r="FJ9" s="1" t="str">
        <f t="shared" ca="1" si="28"/>
        <v/>
      </c>
      <c r="FK9" s="1" t="str">
        <f t="shared" ca="1" si="28"/>
        <v/>
      </c>
      <c r="FL9" s="1" t="str">
        <f t="shared" ca="1" si="28"/>
        <v/>
      </c>
    </row>
    <row r="10" spans="1:168">
      <c r="A10" s="12">
        <v>2</v>
      </c>
      <c r="B10" s="14" t="s">
        <v>49</v>
      </c>
      <c r="C10" s="14"/>
      <c r="D10" s="14">
        <f ca="1">I1-5</f>
        <v>41753</v>
      </c>
      <c r="E10" s="14">
        <f ca="1">I1+5</f>
        <v>41763</v>
      </c>
      <c r="F10" s="14"/>
      <c r="G10" s="14"/>
      <c r="H10" s="28">
        <v>0.54545454545454541</v>
      </c>
      <c r="I10" s="14" t="s">
        <v>75</v>
      </c>
      <c r="J10" s="14"/>
      <c r="K10" s="13"/>
      <c r="L10" s="64"/>
      <c r="M10" s="1" t="str">
        <f t="shared" ca="1" si="16"/>
        <v/>
      </c>
      <c r="N10" s="1" t="str">
        <f t="shared" ca="1" si="16"/>
        <v/>
      </c>
      <c r="O10" s="1" t="str">
        <f t="shared" ca="1" si="17"/>
        <v/>
      </c>
      <c r="P10" s="1" t="str">
        <f t="shared" ca="1" si="17"/>
        <v/>
      </c>
      <c r="Q10" s="1" t="str">
        <f t="shared" ca="1" si="17"/>
        <v/>
      </c>
      <c r="R10" s="1" t="str">
        <f t="shared" ca="1" si="17"/>
        <v/>
      </c>
      <c r="S10" s="1" t="str">
        <f t="shared" ca="1" si="17"/>
        <v/>
      </c>
      <c r="T10" s="1" t="str">
        <f t="shared" ca="1" si="17"/>
        <v/>
      </c>
      <c r="U10" s="1" t="str">
        <f t="shared" ca="1" si="17"/>
        <v/>
      </c>
      <c r="V10" s="1" t="str">
        <f t="shared" ca="1" si="17"/>
        <v>■</v>
      </c>
      <c r="W10" s="1" t="str">
        <f t="shared" ca="1" si="17"/>
        <v>■</v>
      </c>
      <c r="X10" s="1" t="str">
        <f t="shared" ca="1" si="17"/>
        <v>■</v>
      </c>
      <c r="Y10" s="1" t="str">
        <f t="shared" ca="1" si="17"/>
        <v>■</v>
      </c>
      <c r="Z10" s="1" t="str">
        <f t="shared" ca="1" si="17"/>
        <v>■</v>
      </c>
      <c r="AA10" s="1" t="str">
        <f t="shared" ca="1" si="17"/>
        <v>■</v>
      </c>
      <c r="AB10" s="1" t="str">
        <f t="shared" ca="1" si="17"/>
        <v/>
      </c>
      <c r="AC10" s="1" t="str">
        <f t="shared" ca="1" si="17"/>
        <v/>
      </c>
      <c r="AD10" s="1" t="str">
        <f t="shared" ca="1" si="17"/>
        <v/>
      </c>
      <c r="AE10" s="1" t="str">
        <f t="shared" ca="1" si="18"/>
        <v/>
      </c>
      <c r="AF10" s="1" t="str">
        <f t="shared" ca="1" si="18"/>
        <v/>
      </c>
      <c r="AG10" s="1" t="str">
        <f t="shared" ca="1" si="18"/>
        <v/>
      </c>
      <c r="AH10" s="1" t="str">
        <f t="shared" ca="1" si="18"/>
        <v/>
      </c>
      <c r="AI10" s="1" t="str">
        <f t="shared" ca="1" si="18"/>
        <v/>
      </c>
      <c r="AJ10" s="1" t="str">
        <f t="shared" ca="1" si="18"/>
        <v/>
      </c>
      <c r="AK10" s="1" t="str">
        <f t="shared" ca="1" si="18"/>
        <v/>
      </c>
      <c r="AL10" s="1" t="str">
        <f t="shared" ca="1" si="18"/>
        <v/>
      </c>
      <c r="AM10" s="1" t="str">
        <f t="shared" ca="1" si="18"/>
        <v/>
      </c>
      <c r="AN10" s="1" t="str">
        <f t="shared" ca="1" si="18"/>
        <v/>
      </c>
      <c r="AO10" s="1" t="str">
        <f t="shared" ca="1" si="18"/>
        <v/>
      </c>
      <c r="AP10" s="1" t="str">
        <f t="shared" ca="1" si="18"/>
        <v/>
      </c>
      <c r="AQ10" s="1" t="str">
        <f t="shared" ca="1" si="18"/>
        <v/>
      </c>
      <c r="AR10" s="1" t="str">
        <f t="shared" ca="1" si="18"/>
        <v/>
      </c>
      <c r="AS10" s="1" t="str">
        <f t="shared" ca="1" si="18"/>
        <v/>
      </c>
      <c r="AT10" s="1" t="str">
        <f t="shared" ca="1" si="18"/>
        <v/>
      </c>
      <c r="AU10" s="1" t="str">
        <f t="shared" ca="1" si="19"/>
        <v/>
      </c>
      <c r="AV10" s="1" t="str">
        <f t="shared" ca="1" si="19"/>
        <v/>
      </c>
      <c r="AW10" s="1" t="str">
        <f t="shared" ca="1" si="19"/>
        <v/>
      </c>
      <c r="AX10" s="1" t="str">
        <f t="shared" ca="1" si="19"/>
        <v/>
      </c>
      <c r="AY10" s="1" t="str">
        <f t="shared" ca="1" si="19"/>
        <v/>
      </c>
      <c r="AZ10" s="1" t="str">
        <f t="shared" ca="1" si="19"/>
        <v/>
      </c>
      <c r="BA10" s="1" t="str">
        <f t="shared" ca="1" si="19"/>
        <v/>
      </c>
      <c r="BB10" s="1" t="str">
        <f t="shared" ca="1" si="19"/>
        <v/>
      </c>
      <c r="BC10" s="1" t="str">
        <f t="shared" ca="1" si="19"/>
        <v/>
      </c>
      <c r="BD10" s="1" t="str">
        <f t="shared" ca="1" si="19"/>
        <v/>
      </c>
      <c r="BE10" s="1" t="str">
        <f t="shared" ca="1" si="19"/>
        <v/>
      </c>
      <c r="BF10" s="1" t="str">
        <f t="shared" ca="1" si="19"/>
        <v/>
      </c>
      <c r="BG10" s="1" t="str">
        <f t="shared" ca="1" si="19"/>
        <v/>
      </c>
      <c r="BH10" s="1" t="str">
        <f t="shared" ca="1" si="19"/>
        <v/>
      </c>
      <c r="BI10" s="1" t="str">
        <f t="shared" ca="1" si="19"/>
        <v/>
      </c>
      <c r="BJ10" s="1" t="str">
        <f t="shared" ca="1" si="19"/>
        <v/>
      </c>
      <c r="BK10" s="1" t="str">
        <f t="shared" ca="1" si="20"/>
        <v/>
      </c>
      <c r="BL10" s="1" t="str">
        <f t="shared" ca="1" si="20"/>
        <v/>
      </c>
      <c r="BM10" s="1" t="str">
        <f t="shared" ca="1" si="20"/>
        <v/>
      </c>
      <c r="BN10" s="1" t="str">
        <f t="shared" ca="1" si="20"/>
        <v/>
      </c>
      <c r="BO10" s="1" t="str">
        <f t="shared" ca="1" si="20"/>
        <v/>
      </c>
      <c r="BP10" s="1" t="str">
        <f t="shared" ca="1" si="20"/>
        <v/>
      </c>
      <c r="BQ10" s="1" t="str">
        <f t="shared" ca="1" si="20"/>
        <v/>
      </c>
      <c r="BR10" s="1" t="str">
        <f t="shared" ca="1" si="20"/>
        <v/>
      </c>
      <c r="BS10" s="1" t="str">
        <f t="shared" ca="1" si="20"/>
        <v/>
      </c>
      <c r="BT10" s="1" t="str">
        <f t="shared" ca="1" si="20"/>
        <v/>
      </c>
      <c r="BU10" s="1" t="str">
        <f t="shared" ca="1" si="20"/>
        <v/>
      </c>
      <c r="BV10" s="1" t="str">
        <f t="shared" ca="1" si="20"/>
        <v/>
      </c>
      <c r="BW10" s="1" t="str">
        <f t="shared" ca="1" si="20"/>
        <v/>
      </c>
      <c r="BX10" s="1" t="str">
        <f t="shared" ca="1" si="20"/>
        <v/>
      </c>
      <c r="BY10" s="1" t="str">
        <f t="shared" ca="1" si="20"/>
        <v/>
      </c>
      <c r="BZ10" s="1" t="str">
        <f t="shared" ca="1" si="20"/>
        <v/>
      </c>
      <c r="CA10" s="1" t="str">
        <f t="shared" ca="1" si="21"/>
        <v/>
      </c>
      <c r="CB10" s="1" t="str">
        <f t="shared" ca="1" si="21"/>
        <v/>
      </c>
      <c r="CC10" s="1" t="str">
        <f t="shared" ca="1" si="21"/>
        <v/>
      </c>
      <c r="CD10" s="1" t="str">
        <f t="shared" ca="1" si="21"/>
        <v/>
      </c>
      <c r="CE10" s="1" t="str">
        <f t="shared" ca="1" si="21"/>
        <v/>
      </c>
      <c r="CF10" s="1" t="str">
        <f t="shared" ca="1" si="21"/>
        <v/>
      </c>
      <c r="CG10" s="1" t="str">
        <f t="shared" ca="1" si="21"/>
        <v/>
      </c>
      <c r="CH10" s="1" t="str">
        <f t="shared" ca="1" si="21"/>
        <v/>
      </c>
      <c r="CI10" s="1" t="str">
        <f t="shared" ca="1" si="21"/>
        <v/>
      </c>
      <c r="CJ10" s="1" t="str">
        <f t="shared" ca="1" si="21"/>
        <v/>
      </c>
      <c r="CK10" s="1" t="str">
        <f t="shared" ca="1" si="21"/>
        <v/>
      </c>
      <c r="CL10" s="1" t="str">
        <f t="shared" ca="1" si="21"/>
        <v/>
      </c>
      <c r="CM10" s="1" t="str">
        <f t="shared" ca="1" si="21"/>
        <v/>
      </c>
      <c r="CN10" s="1" t="str">
        <f t="shared" ca="1" si="21"/>
        <v/>
      </c>
      <c r="CO10" s="1" t="str">
        <f t="shared" ca="1" si="21"/>
        <v/>
      </c>
      <c r="CP10" s="1" t="str">
        <f t="shared" ca="1" si="21"/>
        <v/>
      </c>
      <c r="CQ10" s="1" t="str">
        <f t="shared" ca="1" si="22"/>
        <v/>
      </c>
      <c r="CR10" s="1" t="str">
        <f t="shared" ca="1" si="22"/>
        <v/>
      </c>
      <c r="CS10" s="1" t="str">
        <f t="shared" ca="1" si="22"/>
        <v/>
      </c>
      <c r="CT10" s="1" t="str">
        <f t="shared" ca="1" si="22"/>
        <v/>
      </c>
      <c r="CU10" s="1" t="str">
        <f t="shared" ca="1" si="22"/>
        <v/>
      </c>
      <c r="CV10" s="1" t="str">
        <f t="shared" ca="1" si="22"/>
        <v/>
      </c>
      <c r="CW10" s="1" t="str">
        <f t="shared" ca="1" si="22"/>
        <v/>
      </c>
      <c r="CX10" s="1" t="str">
        <f t="shared" ca="1" si="22"/>
        <v/>
      </c>
      <c r="CY10" s="1" t="str">
        <f t="shared" ca="1" si="22"/>
        <v/>
      </c>
      <c r="CZ10" s="1" t="str">
        <f t="shared" ca="1" si="22"/>
        <v/>
      </c>
      <c r="DA10" s="1" t="str">
        <f t="shared" ca="1" si="23"/>
        <v/>
      </c>
      <c r="DB10" s="1" t="str">
        <f t="shared" ca="1" si="23"/>
        <v/>
      </c>
      <c r="DC10" s="1" t="str">
        <f t="shared" ca="1" si="23"/>
        <v>■</v>
      </c>
      <c r="DD10" s="1" t="str">
        <f t="shared" ca="1" si="23"/>
        <v>■</v>
      </c>
      <c r="DE10" s="1" t="str">
        <f t="shared" ca="1" si="23"/>
        <v/>
      </c>
      <c r="DF10" s="1" t="str">
        <f t="shared" ca="1" si="23"/>
        <v/>
      </c>
      <c r="DG10" s="1" t="str">
        <f t="shared" ca="1" si="23"/>
        <v/>
      </c>
      <c r="DH10" s="1" t="str">
        <f t="shared" ca="1" si="23"/>
        <v/>
      </c>
      <c r="DI10" s="1" t="str">
        <f t="shared" ca="1" si="23"/>
        <v/>
      </c>
      <c r="DJ10" s="1" t="str">
        <f t="shared" ca="1" si="23"/>
        <v/>
      </c>
      <c r="DK10" s="1" t="str">
        <f t="shared" ca="1" si="24"/>
        <v/>
      </c>
      <c r="DL10" s="1" t="str">
        <f t="shared" ca="1" si="24"/>
        <v/>
      </c>
      <c r="DM10" s="1" t="str">
        <f t="shared" ca="1" si="24"/>
        <v/>
      </c>
      <c r="DN10" s="1" t="str">
        <f t="shared" ca="1" si="24"/>
        <v/>
      </c>
      <c r="DO10" s="1" t="str">
        <f t="shared" ca="1" si="24"/>
        <v/>
      </c>
      <c r="DP10" s="1" t="str">
        <f t="shared" ca="1" si="24"/>
        <v/>
      </c>
      <c r="DQ10" s="1" t="str">
        <f t="shared" ca="1" si="24"/>
        <v/>
      </c>
      <c r="DR10" s="1" t="str">
        <f t="shared" ca="1" si="24"/>
        <v/>
      </c>
      <c r="DS10" s="1" t="str">
        <f t="shared" ca="1" si="24"/>
        <v/>
      </c>
      <c r="DT10" s="1" t="str">
        <f t="shared" ca="1" si="24"/>
        <v/>
      </c>
      <c r="DU10" s="1" t="str">
        <f t="shared" ca="1" si="25"/>
        <v/>
      </c>
      <c r="DV10" s="1" t="str">
        <f t="shared" ca="1" si="25"/>
        <v/>
      </c>
      <c r="DW10" s="1" t="str">
        <f t="shared" ca="1" si="25"/>
        <v/>
      </c>
      <c r="DX10" s="1" t="str">
        <f t="shared" ca="1" si="25"/>
        <v/>
      </c>
      <c r="DY10" s="1" t="str">
        <f t="shared" ca="1" si="25"/>
        <v/>
      </c>
      <c r="DZ10" s="1" t="str">
        <f t="shared" ca="1" si="25"/>
        <v/>
      </c>
      <c r="EA10" s="1" t="str">
        <f t="shared" ca="1" si="25"/>
        <v/>
      </c>
      <c r="EB10" s="1" t="str">
        <f t="shared" ca="1" si="25"/>
        <v/>
      </c>
      <c r="EC10" s="1" t="str">
        <f t="shared" ca="1" si="25"/>
        <v/>
      </c>
      <c r="ED10" s="1" t="str">
        <f t="shared" ca="1" si="25"/>
        <v/>
      </c>
      <c r="EE10" s="1" t="str">
        <f t="shared" ca="1" si="26"/>
        <v/>
      </c>
      <c r="EF10" s="1" t="str">
        <f t="shared" ca="1" si="26"/>
        <v/>
      </c>
      <c r="EG10" s="1" t="str">
        <f t="shared" ca="1" si="26"/>
        <v/>
      </c>
      <c r="EH10" s="1" t="str">
        <f t="shared" ca="1" si="26"/>
        <v/>
      </c>
      <c r="EI10" s="1" t="str">
        <f t="shared" ca="1" si="26"/>
        <v/>
      </c>
      <c r="EJ10" s="1" t="str">
        <f t="shared" ca="1" si="26"/>
        <v/>
      </c>
      <c r="EK10" s="1" t="str">
        <f t="shared" ca="1" si="26"/>
        <v/>
      </c>
      <c r="EL10" s="1" t="str">
        <f t="shared" ca="1" si="26"/>
        <v/>
      </c>
      <c r="EM10" s="1" t="str">
        <f t="shared" ca="1" si="26"/>
        <v/>
      </c>
      <c r="EN10" s="1" t="str">
        <f t="shared" ca="1" si="26"/>
        <v/>
      </c>
      <c r="EO10" s="1" t="str">
        <f t="shared" ca="1" si="27"/>
        <v/>
      </c>
      <c r="EP10" s="1" t="str">
        <f t="shared" ca="1" si="27"/>
        <v/>
      </c>
      <c r="EQ10" s="1" t="str">
        <f t="shared" ca="1" si="27"/>
        <v/>
      </c>
      <c r="ER10" s="1" t="str">
        <f t="shared" ca="1" si="27"/>
        <v/>
      </c>
      <c r="ES10" s="1" t="str">
        <f t="shared" ca="1" si="27"/>
        <v/>
      </c>
      <c r="ET10" s="1" t="str">
        <f t="shared" ca="1" si="27"/>
        <v/>
      </c>
      <c r="EU10" s="1" t="str">
        <f t="shared" ca="1" si="27"/>
        <v/>
      </c>
      <c r="EV10" s="1" t="str">
        <f t="shared" ca="1" si="27"/>
        <v/>
      </c>
      <c r="EW10" s="1" t="str">
        <f t="shared" ca="1" si="27"/>
        <v/>
      </c>
      <c r="EX10" s="1" t="str">
        <f t="shared" ca="1" si="27"/>
        <v/>
      </c>
      <c r="EY10" s="1" t="str">
        <f t="shared" ca="1" si="28"/>
        <v/>
      </c>
      <c r="EZ10" s="1" t="str">
        <f t="shared" ca="1" si="28"/>
        <v/>
      </c>
      <c r="FA10" s="1" t="str">
        <f t="shared" ca="1" si="28"/>
        <v/>
      </c>
      <c r="FB10" s="1" t="str">
        <f t="shared" ca="1" si="28"/>
        <v/>
      </c>
      <c r="FC10" s="1" t="str">
        <f t="shared" ca="1" si="28"/>
        <v/>
      </c>
      <c r="FD10" s="1" t="str">
        <f t="shared" ca="1" si="28"/>
        <v/>
      </c>
      <c r="FE10" s="1" t="str">
        <f t="shared" ca="1" si="28"/>
        <v/>
      </c>
      <c r="FF10" s="1" t="str">
        <f t="shared" ca="1" si="28"/>
        <v/>
      </c>
      <c r="FG10" s="1" t="str">
        <f t="shared" ca="1" si="28"/>
        <v/>
      </c>
      <c r="FH10" s="1" t="str">
        <f t="shared" ca="1" si="28"/>
        <v/>
      </c>
      <c r="FI10" s="1" t="str">
        <f t="shared" ca="1" si="28"/>
        <v/>
      </c>
      <c r="FJ10" s="1" t="str">
        <f t="shared" ca="1" si="28"/>
        <v/>
      </c>
      <c r="FK10" s="1" t="str">
        <f t="shared" ca="1" si="28"/>
        <v/>
      </c>
      <c r="FL10" s="1" t="str">
        <f t="shared" ca="1" si="28"/>
        <v/>
      </c>
    </row>
    <row r="11" spans="1:168">
      <c r="A11" s="12"/>
      <c r="B11" s="14"/>
      <c r="C11" s="14"/>
      <c r="D11" s="14"/>
      <c r="E11" s="14"/>
      <c r="F11" s="14"/>
      <c r="G11" s="14"/>
      <c r="H11" s="28"/>
      <c r="I11" s="14"/>
      <c r="J11" s="14"/>
      <c r="K11" s="13"/>
      <c r="L11" s="64"/>
      <c r="M11" s="1" t="str">
        <f t="shared" si="16"/>
        <v/>
      </c>
      <c r="N11" s="1" t="str">
        <f t="shared" si="16"/>
        <v/>
      </c>
      <c r="O11" s="1" t="str">
        <f t="shared" si="17"/>
        <v/>
      </c>
      <c r="P11" s="1" t="str">
        <f t="shared" si="17"/>
        <v/>
      </c>
      <c r="Q11" s="1" t="str">
        <f t="shared" si="17"/>
        <v/>
      </c>
      <c r="R11" s="1" t="str">
        <f t="shared" si="17"/>
        <v/>
      </c>
      <c r="S11" s="1" t="str">
        <f t="shared" si="17"/>
        <v/>
      </c>
      <c r="T11" s="1" t="str">
        <f t="shared" si="17"/>
        <v/>
      </c>
      <c r="U11" s="1" t="str">
        <f t="shared" si="17"/>
        <v/>
      </c>
      <c r="V11" s="1" t="str">
        <f t="shared" si="17"/>
        <v/>
      </c>
      <c r="W11" s="1" t="str">
        <f t="shared" si="17"/>
        <v/>
      </c>
      <c r="X11" s="1" t="str">
        <f t="shared" si="17"/>
        <v/>
      </c>
      <c r="Y11" s="1" t="str">
        <f t="shared" si="17"/>
        <v/>
      </c>
      <c r="Z11" s="1" t="str">
        <f t="shared" si="17"/>
        <v/>
      </c>
      <c r="AA11" s="1" t="str">
        <f t="shared" si="17"/>
        <v/>
      </c>
      <c r="AB11" s="1" t="str">
        <f t="shared" si="17"/>
        <v/>
      </c>
      <c r="AC11" s="1" t="str">
        <f t="shared" si="17"/>
        <v/>
      </c>
      <c r="AD11" s="1" t="str">
        <f t="shared" si="17"/>
        <v/>
      </c>
      <c r="AE11" s="1" t="str">
        <f t="shared" si="18"/>
        <v/>
      </c>
      <c r="AF11" s="1" t="str">
        <f t="shared" si="18"/>
        <v/>
      </c>
      <c r="AG11" s="1" t="str">
        <f t="shared" si="18"/>
        <v/>
      </c>
      <c r="AH11" s="1" t="str">
        <f t="shared" si="18"/>
        <v/>
      </c>
      <c r="AI11" s="1" t="str">
        <f t="shared" si="18"/>
        <v/>
      </c>
      <c r="AJ11" s="1" t="str">
        <f t="shared" si="18"/>
        <v/>
      </c>
      <c r="AK11" s="1" t="str">
        <f t="shared" si="18"/>
        <v/>
      </c>
      <c r="AL11" s="1" t="str">
        <f t="shared" si="18"/>
        <v/>
      </c>
      <c r="AM11" s="1" t="str">
        <f t="shared" si="18"/>
        <v/>
      </c>
      <c r="AN11" s="1" t="str">
        <f t="shared" si="18"/>
        <v/>
      </c>
      <c r="AO11" s="1" t="str">
        <f t="shared" si="18"/>
        <v/>
      </c>
      <c r="AP11" s="1" t="str">
        <f t="shared" si="18"/>
        <v/>
      </c>
      <c r="AQ11" s="1" t="str">
        <f t="shared" si="18"/>
        <v/>
      </c>
      <c r="AR11" s="1" t="str">
        <f t="shared" si="18"/>
        <v/>
      </c>
      <c r="AS11" s="1" t="str">
        <f t="shared" si="18"/>
        <v/>
      </c>
      <c r="AT11" s="1" t="str">
        <f t="shared" si="18"/>
        <v/>
      </c>
      <c r="AU11" s="1" t="str">
        <f t="shared" si="19"/>
        <v/>
      </c>
      <c r="AV11" s="1" t="str">
        <f t="shared" si="19"/>
        <v/>
      </c>
      <c r="AW11" s="1" t="str">
        <f t="shared" si="19"/>
        <v/>
      </c>
      <c r="AX11" s="1" t="str">
        <f t="shared" si="19"/>
        <v/>
      </c>
      <c r="AY11" s="1" t="str">
        <f t="shared" si="19"/>
        <v/>
      </c>
      <c r="AZ11" s="1" t="str">
        <f t="shared" si="19"/>
        <v/>
      </c>
      <c r="BA11" s="1" t="str">
        <f t="shared" si="19"/>
        <v/>
      </c>
      <c r="BB11" s="1" t="str">
        <f t="shared" si="19"/>
        <v/>
      </c>
      <c r="BC11" s="1" t="str">
        <f t="shared" si="19"/>
        <v/>
      </c>
      <c r="BD11" s="1" t="str">
        <f t="shared" si="19"/>
        <v/>
      </c>
      <c r="BE11" s="1" t="str">
        <f t="shared" si="19"/>
        <v/>
      </c>
      <c r="BF11" s="1" t="str">
        <f t="shared" si="19"/>
        <v/>
      </c>
      <c r="BG11" s="1" t="str">
        <f t="shared" si="19"/>
        <v/>
      </c>
      <c r="BH11" s="1" t="str">
        <f t="shared" si="19"/>
        <v/>
      </c>
      <c r="BI11" s="1" t="str">
        <f t="shared" si="19"/>
        <v/>
      </c>
      <c r="BJ11" s="1" t="str">
        <f t="shared" si="19"/>
        <v/>
      </c>
      <c r="BK11" s="1" t="str">
        <f t="shared" si="20"/>
        <v/>
      </c>
      <c r="BL11" s="1" t="str">
        <f t="shared" si="20"/>
        <v/>
      </c>
      <c r="BM11" s="1" t="str">
        <f t="shared" si="20"/>
        <v/>
      </c>
      <c r="BN11" s="1" t="str">
        <f t="shared" si="20"/>
        <v/>
      </c>
      <c r="BO11" s="1" t="str">
        <f t="shared" si="20"/>
        <v/>
      </c>
      <c r="BP11" s="1" t="str">
        <f t="shared" si="20"/>
        <v/>
      </c>
      <c r="BQ11" s="1" t="str">
        <f t="shared" si="20"/>
        <v/>
      </c>
      <c r="BR11" s="1" t="str">
        <f t="shared" si="20"/>
        <v/>
      </c>
      <c r="BS11" s="1" t="str">
        <f t="shared" si="20"/>
        <v/>
      </c>
      <c r="BT11" s="1" t="str">
        <f t="shared" si="20"/>
        <v/>
      </c>
      <c r="BU11" s="1" t="str">
        <f t="shared" si="20"/>
        <v/>
      </c>
      <c r="BV11" s="1" t="str">
        <f t="shared" si="20"/>
        <v/>
      </c>
      <c r="BW11" s="1" t="str">
        <f t="shared" si="20"/>
        <v/>
      </c>
      <c r="BX11" s="1" t="str">
        <f t="shared" si="20"/>
        <v/>
      </c>
      <c r="BY11" s="1" t="str">
        <f t="shared" si="20"/>
        <v/>
      </c>
      <c r="BZ11" s="1" t="str">
        <f t="shared" si="20"/>
        <v/>
      </c>
      <c r="CA11" s="1" t="str">
        <f t="shared" si="21"/>
        <v/>
      </c>
      <c r="CB11" s="1" t="str">
        <f t="shared" si="21"/>
        <v/>
      </c>
      <c r="CC11" s="1" t="str">
        <f t="shared" si="21"/>
        <v/>
      </c>
      <c r="CD11" s="1" t="str">
        <f t="shared" si="21"/>
        <v/>
      </c>
      <c r="CE11" s="1" t="str">
        <f t="shared" si="21"/>
        <v/>
      </c>
      <c r="CF11" s="1" t="str">
        <f t="shared" si="21"/>
        <v/>
      </c>
      <c r="CG11" s="1" t="str">
        <f t="shared" si="21"/>
        <v/>
      </c>
      <c r="CH11" s="1" t="str">
        <f t="shared" si="21"/>
        <v/>
      </c>
      <c r="CI11" s="1" t="str">
        <f t="shared" si="21"/>
        <v/>
      </c>
      <c r="CJ11" s="1" t="str">
        <f t="shared" si="21"/>
        <v/>
      </c>
      <c r="CK11" s="1" t="str">
        <f t="shared" si="21"/>
        <v/>
      </c>
      <c r="CL11" s="1" t="str">
        <f t="shared" si="21"/>
        <v/>
      </c>
      <c r="CM11" s="1" t="str">
        <f t="shared" si="21"/>
        <v/>
      </c>
      <c r="CN11" s="1" t="str">
        <f t="shared" si="21"/>
        <v/>
      </c>
      <c r="CO11" s="1" t="str">
        <f t="shared" si="21"/>
        <v/>
      </c>
      <c r="CP11" s="1" t="str">
        <f t="shared" si="21"/>
        <v/>
      </c>
      <c r="CQ11" s="1" t="str">
        <f t="shared" si="22"/>
        <v/>
      </c>
      <c r="CR11" s="1" t="str">
        <f t="shared" si="22"/>
        <v/>
      </c>
      <c r="CS11" s="1" t="str">
        <f t="shared" si="22"/>
        <v/>
      </c>
      <c r="CT11" s="1" t="str">
        <f t="shared" si="22"/>
        <v/>
      </c>
      <c r="CU11" s="1" t="str">
        <f t="shared" si="22"/>
        <v/>
      </c>
      <c r="CV11" s="1" t="str">
        <f t="shared" si="22"/>
        <v/>
      </c>
      <c r="CW11" s="1" t="str">
        <f t="shared" si="22"/>
        <v/>
      </c>
      <c r="CX11" s="1" t="str">
        <f t="shared" si="22"/>
        <v/>
      </c>
      <c r="CY11" s="1" t="str">
        <f t="shared" si="22"/>
        <v/>
      </c>
      <c r="CZ11" s="1" t="str">
        <f t="shared" si="22"/>
        <v/>
      </c>
      <c r="DA11" s="1" t="str">
        <f t="shared" si="23"/>
        <v/>
      </c>
      <c r="DB11" s="1" t="str">
        <f t="shared" si="23"/>
        <v/>
      </c>
      <c r="DC11" s="1" t="str">
        <f t="shared" si="23"/>
        <v/>
      </c>
      <c r="DD11" s="1" t="str">
        <f t="shared" si="23"/>
        <v/>
      </c>
      <c r="DE11" s="1" t="str">
        <f t="shared" si="23"/>
        <v/>
      </c>
      <c r="DF11" s="1" t="str">
        <f t="shared" si="23"/>
        <v/>
      </c>
      <c r="DG11" s="1" t="str">
        <f t="shared" si="23"/>
        <v/>
      </c>
      <c r="DH11" s="1" t="str">
        <f>IF(AND(DH$7&lt;=$E11,DH$7+6&gt;=$D11),IF((((IF(DH$7&gt;$D11,DH$7-$D11+1,1))+(IF(AND($I$1&gt;DH$7,$I$1&lt;=DH$7+6),IF(DH$7&gt;$I$1,$I$1-DH$7,0),0)))/($E11-$D11+1))&lt;=$H11,$E$5,IF(DH$7&lt;$I$1,$H$5,"")),"")</f>
        <v/>
      </c>
      <c r="DI11" s="1" t="str">
        <f t="shared" si="23"/>
        <v/>
      </c>
      <c r="DJ11" s="1" t="str">
        <f t="shared" si="23"/>
        <v/>
      </c>
      <c r="DK11" s="1" t="str">
        <f t="shared" si="24"/>
        <v/>
      </c>
      <c r="DL11" s="1" t="str">
        <f t="shared" si="24"/>
        <v/>
      </c>
      <c r="DM11" s="1" t="str">
        <f t="shared" si="24"/>
        <v/>
      </c>
      <c r="DN11" s="1" t="str">
        <f t="shared" si="24"/>
        <v/>
      </c>
      <c r="DO11" s="1" t="str">
        <f t="shared" si="24"/>
        <v/>
      </c>
      <c r="DP11" s="1" t="str">
        <f t="shared" si="24"/>
        <v/>
      </c>
      <c r="DQ11" s="1" t="str">
        <f t="shared" si="24"/>
        <v/>
      </c>
      <c r="DR11" s="1" t="str">
        <f t="shared" si="24"/>
        <v/>
      </c>
      <c r="DS11" s="1" t="str">
        <f t="shared" si="24"/>
        <v/>
      </c>
      <c r="DT11" s="1" t="str">
        <f t="shared" si="24"/>
        <v/>
      </c>
      <c r="DU11" s="1" t="str">
        <f t="shared" si="25"/>
        <v/>
      </c>
      <c r="DV11" s="1" t="str">
        <f t="shared" si="25"/>
        <v/>
      </c>
      <c r="DW11" s="1" t="str">
        <f t="shared" si="25"/>
        <v/>
      </c>
      <c r="DX11" s="1" t="str">
        <f t="shared" si="25"/>
        <v/>
      </c>
      <c r="DY11" s="1" t="str">
        <f t="shared" si="25"/>
        <v/>
      </c>
      <c r="DZ11" s="1" t="str">
        <f t="shared" si="25"/>
        <v/>
      </c>
      <c r="EA11" s="1" t="str">
        <f t="shared" si="25"/>
        <v/>
      </c>
      <c r="EB11" s="1" t="str">
        <f t="shared" si="25"/>
        <v/>
      </c>
      <c r="EC11" s="1" t="str">
        <f t="shared" si="25"/>
        <v/>
      </c>
      <c r="ED11" s="1" t="str">
        <f t="shared" si="25"/>
        <v/>
      </c>
      <c r="EE11" s="1" t="str">
        <f t="shared" si="26"/>
        <v/>
      </c>
      <c r="EF11" s="1" t="str">
        <f t="shared" si="26"/>
        <v/>
      </c>
      <c r="EG11" s="1" t="str">
        <f t="shared" si="26"/>
        <v/>
      </c>
      <c r="EH11" s="1" t="str">
        <f t="shared" si="26"/>
        <v/>
      </c>
      <c r="EI11" s="1" t="str">
        <f t="shared" si="26"/>
        <v/>
      </c>
      <c r="EJ11" s="1" t="str">
        <f t="shared" si="26"/>
        <v/>
      </c>
      <c r="EK11" s="1" t="str">
        <f t="shared" si="26"/>
        <v/>
      </c>
      <c r="EL11" s="1" t="str">
        <f t="shared" si="26"/>
        <v/>
      </c>
      <c r="EM11" s="1" t="str">
        <f t="shared" si="26"/>
        <v/>
      </c>
      <c r="EN11" s="1" t="str">
        <f t="shared" si="26"/>
        <v/>
      </c>
      <c r="EO11" s="1" t="str">
        <f t="shared" si="27"/>
        <v/>
      </c>
      <c r="EP11" s="1" t="str">
        <f t="shared" si="27"/>
        <v/>
      </c>
      <c r="EQ11" s="1" t="str">
        <f t="shared" si="27"/>
        <v/>
      </c>
      <c r="ER11" s="1" t="str">
        <f t="shared" si="27"/>
        <v/>
      </c>
      <c r="ES11" s="1" t="str">
        <f t="shared" si="27"/>
        <v/>
      </c>
      <c r="ET11" s="1" t="str">
        <f t="shared" si="27"/>
        <v/>
      </c>
      <c r="EU11" s="1" t="str">
        <f t="shared" si="27"/>
        <v/>
      </c>
      <c r="EV11" s="1" t="str">
        <f t="shared" si="27"/>
        <v/>
      </c>
      <c r="EW11" s="1" t="str">
        <f t="shared" si="27"/>
        <v/>
      </c>
      <c r="EX11" s="1" t="str">
        <f t="shared" si="27"/>
        <v/>
      </c>
      <c r="EY11" s="1" t="str">
        <f t="shared" si="28"/>
        <v/>
      </c>
      <c r="EZ11" s="1" t="str">
        <f t="shared" si="28"/>
        <v/>
      </c>
      <c r="FA11" s="1" t="str">
        <f t="shared" si="28"/>
        <v/>
      </c>
      <c r="FB11" s="1" t="str">
        <f t="shared" si="28"/>
        <v/>
      </c>
      <c r="FC11" s="1" t="str">
        <f t="shared" si="28"/>
        <v/>
      </c>
      <c r="FD11" s="1" t="str">
        <f t="shared" si="28"/>
        <v/>
      </c>
      <c r="FE11" s="1" t="str">
        <f t="shared" si="28"/>
        <v/>
      </c>
      <c r="FF11" s="1" t="str">
        <f t="shared" si="28"/>
        <v/>
      </c>
      <c r="FG11" s="1" t="str">
        <f t="shared" si="28"/>
        <v/>
      </c>
      <c r="FH11" s="1" t="str">
        <f t="shared" si="28"/>
        <v/>
      </c>
      <c r="FI11" s="1" t="str">
        <f t="shared" si="28"/>
        <v/>
      </c>
      <c r="FJ11" s="1" t="str">
        <f t="shared" si="28"/>
        <v/>
      </c>
      <c r="FK11" s="1" t="str">
        <f t="shared" si="28"/>
        <v/>
      </c>
      <c r="FL11" s="1" t="str">
        <f t="shared" si="28"/>
        <v/>
      </c>
    </row>
    <row r="12" spans="1:168">
      <c r="A12" s="12"/>
      <c r="B12" s="14"/>
      <c r="C12" s="14"/>
      <c r="D12" s="14"/>
      <c r="E12" s="14"/>
      <c r="F12" s="14"/>
      <c r="G12" s="14"/>
      <c r="H12" s="28"/>
      <c r="I12" s="14"/>
      <c r="J12" s="14"/>
      <c r="K12" s="13"/>
      <c r="L12" s="64"/>
      <c r="M12" s="1" t="str">
        <f t="shared" si="16"/>
        <v/>
      </c>
      <c r="N12" s="1" t="str">
        <f t="shared" si="16"/>
        <v/>
      </c>
      <c r="O12" s="1" t="str">
        <f t="shared" si="17"/>
        <v/>
      </c>
      <c r="P12" s="1" t="str">
        <f t="shared" si="17"/>
        <v/>
      </c>
      <c r="Q12" s="1" t="str">
        <f t="shared" si="17"/>
        <v/>
      </c>
      <c r="R12" s="1" t="str">
        <f t="shared" si="17"/>
        <v/>
      </c>
      <c r="S12" s="1" t="str">
        <f t="shared" si="17"/>
        <v/>
      </c>
      <c r="T12" s="1" t="str">
        <f t="shared" si="17"/>
        <v/>
      </c>
      <c r="U12" s="1" t="str">
        <f t="shared" si="17"/>
        <v/>
      </c>
      <c r="V12" s="1" t="str">
        <f t="shared" si="17"/>
        <v/>
      </c>
      <c r="W12" s="1" t="str">
        <f t="shared" si="17"/>
        <v/>
      </c>
      <c r="X12" s="1" t="str">
        <f t="shared" si="17"/>
        <v/>
      </c>
      <c r="Y12" s="1" t="str">
        <f t="shared" si="17"/>
        <v/>
      </c>
      <c r="Z12" s="1" t="str">
        <f t="shared" si="17"/>
        <v/>
      </c>
      <c r="AA12" s="1" t="str">
        <f t="shared" si="17"/>
        <v/>
      </c>
      <c r="AB12" s="1" t="str">
        <f t="shared" si="17"/>
        <v/>
      </c>
      <c r="AC12" s="1" t="str">
        <f t="shared" si="17"/>
        <v/>
      </c>
      <c r="AD12" s="1" t="str">
        <f t="shared" si="17"/>
        <v/>
      </c>
      <c r="AE12" s="1" t="str">
        <f t="shared" si="18"/>
        <v/>
      </c>
      <c r="AF12" s="1" t="str">
        <f t="shared" si="18"/>
        <v/>
      </c>
      <c r="AG12" s="1" t="str">
        <f t="shared" si="18"/>
        <v/>
      </c>
      <c r="AH12" s="1" t="str">
        <f t="shared" si="18"/>
        <v/>
      </c>
      <c r="AI12" s="1" t="str">
        <f t="shared" si="18"/>
        <v/>
      </c>
      <c r="AJ12" s="1" t="str">
        <f t="shared" si="18"/>
        <v/>
      </c>
      <c r="AK12" s="1" t="str">
        <f t="shared" si="18"/>
        <v/>
      </c>
      <c r="AL12" s="1" t="str">
        <f t="shared" si="18"/>
        <v/>
      </c>
      <c r="AM12" s="1" t="str">
        <f t="shared" si="18"/>
        <v/>
      </c>
      <c r="AN12" s="1" t="str">
        <f t="shared" si="18"/>
        <v/>
      </c>
      <c r="AO12" s="1" t="str">
        <f t="shared" si="18"/>
        <v/>
      </c>
      <c r="AP12" s="1" t="str">
        <f t="shared" si="18"/>
        <v/>
      </c>
      <c r="AQ12" s="1" t="str">
        <f t="shared" si="18"/>
        <v/>
      </c>
      <c r="AR12" s="1" t="str">
        <f t="shared" si="18"/>
        <v/>
      </c>
      <c r="AS12" s="1" t="str">
        <f t="shared" si="18"/>
        <v/>
      </c>
      <c r="AT12" s="1" t="str">
        <f t="shared" si="18"/>
        <v/>
      </c>
      <c r="AU12" s="1" t="str">
        <f t="shared" si="19"/>
        <v/>
      </c>
      <c r="AV12" s="1" t="str">
        <f t="shared" si="19"/>
        <v/>
      </c>
      <c r="AW12" s="1" t="str">
        <f t="shared" si="19"/>
        <v/>
      </c>
      <c r="AX12" s="1" t="str">
        <f t="shared" si="19"/>
        <v/>
      </c>
      <c r="AY12" s="1" t="str">
        <f t="shared" si="19"/>
        <v/>
      </c>
      <c r="AZ12" s="1" t="str">
        <f t="shared" si="19"/>
        <v/>
      </c>
      <c r="BA12" s="1" t="str">
        <f t="shared" si="19"/>
        <v/>
      </c>
      <c r="BB12" s="1" t="str">
        <f t="shared" si="19"/>
        <v/>
      </c>
      <c r="BC12" s="1" t="str">
        <f t="shared" si="19"/>
        <v/>
      </c>
      <c r="BD12" s="1" t="str">
        <f t="shared" si="19"/>
        <v/>
      </c>
      <c r="BE12" s="1" t="str">
        <f t="shared" si="19"/>
        <v/>
      </c>
      <c r="BF12" s="1" t="str">
        <f t="shared" si="19"/>
        <v/>
      </c>
      <c r="BG12" s="1" t="str">
        <f t="shared" si="19"/>
        <v/>
      </c>
      <c r="BH12" s="1" t="str">
        <f t="shared" si="19"/>
        <v/>
      </c>
      <c r="BI12" s="1" t="str">
        <f t="shared" si="19"/>
        <v/>
      </c>
      <c r="BJ12" s="1" t="str">
        <f t="shared" si="19"/>
        <v/>
      </c>
      <c r="BK12" s="1" t="str">
        <f t="shared" si="20"/>
        <v/>
      </c>
      <c r="BL12" s="1" t="str">
        <f t="shared" si="20"/>
        <v/>
      </c>
      <c r="BM12" s="1" t="str">
        <f t="shared" si="20"/>
        <v/>
      </c>
      <c r="BN12" s="1" t="str">
        <f t="shared" si="20"/>
        <v/>
      </c>
      <c r="BO12" s="1" t="str">
        <f t="shared" si="20"/>
        <v/>
      </c>
      <c r="BP12" s="1" t="str">
        <f t="shared" si="20"/>
        <v/>
      </c>
      <c r="BQ12" s="1" t="str">
        <f t="shared" si="20"/>
        <v/>
      </c>
      <c r="BR12" s="1" t="str">
        <f t="shared" si="20"/>
        <v/>
      </c>
      <c r="BS12" s="1" t="str">
        <f t="shared" si="20"/>
        <v/>
      </c>
      <c r="BT12" s="1" t="str">
        <f t="shared" si="20"/>
        <v/>
      </c>
      <c r="BU12" s="1" t="str">
        <f t="shared" si="20"/>
        <v/>
      </c>
      <c r="BV12" s="1" t="str">
        <f t="shared" si="20"/>
        <v/>
      </c>
      <c r="BW12" s="1" t="str">
        <f t="shared" si="20"/>
        <v/>
      </c>
      <c r="BX12" s="1" t="str">
        <f t="shared" si="20"/>
        <v/>
      </c>
      <c r="BY12" s="1" t="str">
        <f t="shared" si="20"/>
        <v/>
      </c>
      <c r="BZ12" s="1" t="str">
        <f t="shared" si="20"/>
        <v/>
      </c>
      <c r="CA12" s="1" t="str">
        <f t="shared" si="21"/>
        <v/>
      </c>
      <c r="CB12" s="1" t="str">
        <f t="shared" si="21"/>
        <v/>
      </c>
      <c r="CC12" s="1" t="str">
        <f t="shared" si="21"/>
        <v/>
      </c>
      <c r="CD12" s="1" t="str">
        <f t="shared" si="21"/>
        <v/>
      </c>
      <c r="CE12" s="1" t="str">
        <f t="shared" si="21"/>
        <v/>
      </c>
      <c r="CF12" s="1" t="str">
        <f t="shared" si="21"/>
        <v/>
      </c>
      <c r="CG12" s="1" t="str">
        <f t="shared" si="21"/>
        <v/>
      </c>
      <c r="CH12" s="1" t="str">
        <f t="shared" si="21"/>
        <v/>
      </c>
      <c r="CI12" s="1" t="str">
        <f t="shared" si="21"/>
        <v/>
      </c>
      <c r="CJ12" s="1" t="str">
        <f t="shared" si="21"/>
        <v/>
      </c>
      <c r="CK12" s="1" t="str">
        <f t="shared" si="21"/>
        <v/>
      </c>
      <c r="CL12" s="1" t="str">
        <f t="shared" si="21"/>
        <v/>
      </c>
      <c r="CM12" s="1" t="str">
        <f t="shared" si="21"/>
        <v/>
      </c>
      <c r="CN12" s="1" t="str">
        <f t="shared" si="21"/>
        <v/>
      </c>
      <c r="CO12" s="1" t="str">
        <f t="shared" si="21"/>
        <v/>
      </c>
      <c r="CP12" s="1" t="str">
        <f t="shared" si="21"/>
        <v/>
      </c>
      <c r="CQ12" s="1" t="str">
        <f t="shared" si="22"/>
        <v/>
      </c>
      <c r="CR12" s="1" t="str">
        <f t="shared" si="22"/>
        <v/>
      </c>
      <c r="CS12" s="1" t="str">
        <f t="shared" si="22"/>
        <v/>
      </c>
      <c r="CT12" s="1" t="str">
        <f t="shared" si="22"/>
        <v/>
      </c>
      <c r="CU12" s="1" t="str">
        <f t="shared" si="22"/>
        <v/>
      </c>
      <c r="CV12" s="1" t="str">
        <f t="shared" si="22"/>
        <v/>
      </c>
      <c r="CW12" s="1" t="str">
        <f t="shared" si="22"/>
        <v/>
      </c>
      <c r="CX12" s="1" t="str">
        <f t="shared" si="22"/>
        <v/>
      </c>
      <c r="CY12" s="1" t="str">
        <f t="shared" si="22"/>
        <v/>
      </c>
      <c r="CZ12" s="1" t="str">
        <f t="shared" si="22"/>
        <v/>
      </c>
      <c r="DA12" s="1" t="str">
        <f t="shared" si="23"/>
        <v/>
      </c>
      <c r="DB12" s="1" t="str">
        <f t="shared" si="23"/>
        <v/>
      </c>
      <c r="DC12" s="1" t="str">
        <f t="shared" si="23"/>
        <v/>
      </c>
      <c r="DD12" s="1" t="str">
        <f t="shared" si="23"/>
        <v/>
      </c>
      <c r="DE12" s="1" t="str">
        <f t="shared" si="23"/>
        <v/>
      </c>
      <c r="DF12" s="1" t="str">
        <f t="shared" si="23"/>
        <v/>
      </c>
      <c r="DG12" s="1" t="str">
        <f t="shared" si="23"/>
        <v/>
      </c>
      <c r="DH12" s="1" t="str">
        <f t="shared" si="23"/>
        <v/>
      </c>
      <c r="DI12" s="1" t="str">
        <f t="shared" si="23"/>
        <v/>
      </c>
      <c r="DJ12" s="1" t="str">
        <f t="shared" si="23"/>
        <v/>
      </c>
      <c r="DK12" s="1" t="str">
        <f t="shared" si="24"/>
        <v/>
      </c>
      <c r="DL12" s="1" t="str">
        <f t="shared" si="24"/>
        <v/>
      </c>
      <c r="DM12" s="1" t="str">
        <f t="shared" si="24"/>
        <v/>
      </c>
      <c r="DN12" s="1" t="str">
        <f t="shared" si="24"/>
        <v/>
      </c>
      <c r="DO12" s="1" t="str">
        <f t="shared" si="24"/>
        <v/>
      </c>
      <c r="DP12" s="1" t="str">
        <f t="shared" si="24"/>
        <v/>
      </c>
      <c r="DQ12" s="1" t="str">
        <f t="shared" si="24"/>
        <v/>
      </c>
      <c r="DR12" s="1" t="str">
        <f t="shared" si="24"/>
        <v/>
      </c>
      <c r="DS12" s="1" t="str">
        <f t="shared" si="24"/>
        <v/>
      </c>
      <c r="DT12" s="1" t="str">
        <f t="shared" si="24"/>
        <v/>
      </c>
      <c r="DU12" s="1" t="str">
        <f t="shared" si="25"/>
        <v/>
      </c>
      <c r="DV12" s="1" t="str">
        <f t="shared" si="25"/>
        <v/>
      </c>
      <c r="DW12" s="1" t="str">
        <f t="shared" si="25"/>
        <v/>
      </c>
      <c r="DX12" s="1" t="str">
        <f t="shared" si="25"/>
        <v/>
      </c>
      <c r="DY12" s="1" t="str">
        <f t="shared" si="25"/>
        <v/>
      </c>
      <c r="DZ12" s="1" t="str">
        <f t="shared" si="25"/>
        <v/>
      </c>
      <c r="EA12" s="1" t="str">
        <f t="shared" si="25"/>
        <v/>
      </c>
      <c r="EB12" s="1" t="str">
        <f t="shared" si="25"/>
        <v/>
      </c>
      <c r="EC12" s="1" t="str">
        <f t="shared" si="25"/>
        <v/>
      </c>
      <c r="ED12" s="1" t="str">
        <f t="shared" si="25"/>
        <v/>
      </c>
      <c r="EE12" s="1" t="str">
        <f t="shared" si="26"/>
        <v/>
      </c>
      <c r="EF12" s="1" t="str">
        <f t="shared" si="26"/>
        <v/>
      </c>
      <c r="EG12" s="1" t="str">
        <f t="shared" si="26"/>
        <v/>
      </c>
      <c r="EH12" s="1" t="str">
        <f t="shared" si="26"/>
        <v/>
      </c>
      <c r="EI12" s="1" t="str">
        <f t="shared" si="26"/>
        <v/>
      </c>
      <c r="EJ12" s="1" t="str">
        <f t="shared" si="26"/>
        <v/>
      </c>
      <c r="EK12" s="1" t="str">
        <f t="shared" si="26"/>
        <v/>
      </c>
      <c r="EL12" s="1" t="str">
        <f t="shared" si="26"/>
        <v/>
      </c>
      <c r="EM12" s="1" t="str">
        <f t="shared" si="26"/>
        <v/>
      </c>
      <c r="EN12" s="1" t="str">
        <f t="shared" si="26"/>
        <v/>
      </c>
      <c r="EO12" s="1" t="str">
        <f t="shared" si="27"/>
        <v/>
      </c>
      <c r="EP12" s="1" t="str">
        <f t="shared" si="27"/>
        <v/>
      </c>
      <c r="EQ12" s="1" t="str">
        <f t="shared" si="27"/>
        <v/>
      </c>
      <c r="ER12" s="1" t="str">
        <f t="shared" si="27"/>
        <v/>
      </c>
      <c r="ES12" s="1" t="str">
        <f t="shared" si="27"/>
        <v/>
      </c>
      <c r="ET12" s="1" t="str">
        <f t="shared" si="27"/>
        <v/>
      </c>
      <c r="EU12" s="1" t="str">
        <f t="shared" si="27"/>
        <v/>
      </c>
      <c r="EV12" s="1" t="str">
        <f t="shared" si="27"/>
        <v/>
      </c>
      <c r="EW12" s="1" t="str">
        <f t="shared" si="27"/>
        <v/>
      </c>
      <c r="EX12" s="1" t="str">
        <f t="shared" si="27"/>
        <v/>
      </c>
      <c r="EY12" s="1" t="str">
        <f t="shared" si="28"/>
        <v/>
      </c>
      <c r="EZ12" s="1" t="str">
        <f t="shared" si="28"/>
        <v/>
      </c>
      <c r="FA12" s="1" t="str">
        <f t="shared" si="28"/>
        <v/>
      </c>
      <c r="FB12" s="1" t="str">
        <f t="shared" si="28"/>
        <v/>
      </c>
      <c r="FC12" s="1" t="str">
        <f t="shared" si="28"/>
        <v/>
      </c>
      <c r="FD12" s="1" t="str">
        <f t="shared" si="28"/>
        <v/>
      </c>
      <c r="FE12" s="1" t="str">
        <f t="shared" si="28"/>
        <v/>
      </c>
      <c r="FF12" s="1" t="str">
        <f t="shared" si="28"/>
        <v/>
      </c>
      <c r="FG12" s="1" t="str">
        <f t="shared" si="28"/>
        <v/>
      </c>
      <c r="FH12" s="1" t="str">
        <f t="shared" si="28"/>
        <v/>
      </c>
      <c r="FI12" s="1" t="str">
        <f t="shared" si="28"/>
        <v/>
      </c>
      <c r="FJ12" s="1" t="str">
        <f t="shared" si="28"/>
        <v/>
      </c>
      <c r="FK12" s="1" t="str">
        <f t="shared" si="28"/>
        <v/>
      </c>
      <c r="FL12" s="1" t="str">
        <f t="shared" si="28"/>
        <v/>
      </c>
    </row>
    <row r="13" spans="1:168">
      <c r="A13" s="12"/>
      <c r="B13" s="14"/>
      <c r="C13" s="14"/>
      <c r="D13" s="14"/>
      <c r="E13" s="14"/>
      <c r="F13" s="14"/>
      <c r="G13" s="14"/>
      <c r="H13" s="28"/>
      <c r="I13" s="14"/>
      <c r="J13" s="14"/>
      <c r="K13" s="13"/>
      <c r="L13" s="64"/>
      <c r="M13" s="1" t="str">
        <f t="shared" si="16"/>
        <v/>
      </c>
      <c r="N13" s="1" t="str">
        <f t="shared" si="16"/>
        <v/>
      </c>
      <c r="O13" s="1" t="str">
        <f t="shared" si="17"/>
        <v/>
      </c>
      <c r="P13" s="1" t="str">
        <f t="shared" si="17"/>
        <v/>
      </c>
      <c r="Q13" s="1" t="str">
        <f t="shared" si="17"/>
        <v/>
      </c>
      <c r="R13" s="1" t="str">
        <f t="shared" si="17"/>
        <v/>
      </c>
      <c r="S13" s="1" t="str">
        <f t="shared" si="17"/>
        <v/>
      </c>
      <c r="T13" s="1" t="str">
        <f t="shared" si="17"/>
        <v/>
      </c>
      <c r="U13" s="1" t="str">
        <f t="shared" si="17"/>
        <v/>
      </c>
      <c r="V13" s="1" t="str">
        <f t="shared" si="17"/>
        <v/>
      </c>
      <c r="W13" s="1" t="str">
        <f t="shared" si="17"/>
        <v/>
      </c>
      <c r="X13" s="1" t="str">
        <f t="shared" si="17"/>
        <v/>
      </c>
      <c r="Y13" s="1" t="str">
        <f t="shared" si="17"/>
        <v/>
      </c>
      <c r="Z13" s="1" t="str">
        <f t="shared" si="17"/>
        <v/>
      </c>
      <c r="AA13" s="1" t="str">
        <f t="shared" si="17"/>
        <v/>
      </c>
      <c r="AB13" s="1" t="str">
        <f t="shared" si="17"/>
        <v/>
      </c>
      <c r="AC13" s="1" t="str">
        <f t="shared" si="17"/>
        <v/>
      </c>
      <c r="AD13" s="1" t="str">
        <f t="shared" si="17"/>
        <v/>
      </c>
      <c r="AE13" s="1" t="str">
        <f t="shared" si="18"/>
        <v/>
      </c>
      <c r="AF13" s="1" t="str">
        <f t="shared" si="18"/>
        <v/>
      </c>
      <c r="AG13" s="1" t="str">
        <f t="shared" si="18"/>
        <v/>
      </c>
      <c r="AH13" s="1" t="str">
        <f t="shared" si="18"/>
        <v/>
      </c>
      <c r="AI13" s="1" t="str">
        <f t="shared" si="18"/>
        <v/>
      </c>
      <c r="AJ13" s="1" t="str">
        <f t="shared" si="18"/>
        <v/>
      </c>
      <c r="AK13" s="1" t="str">
        <f t="shared" si="18"/>
        <v/>
      </c>
      <c r="AL13" s="1" t="str">
        <f t="shared" si="18"/>
        <v/>
      </c>
      <c r="AM13" s="1" t="str">
        <f t="shared" si="18"/>
        <v/>
      </c>
      <c r="AN13" s="1" t="str">
        <f t="shared" si="18"/>
        <v/>
      </c>
      <c r="AO13" s="1" t="str">
        <f t="shared" si="18"/>
        <v/>
      </c>
      <c r="AP13" s="1" t="str">
        <f t="shared" si="18"/>
        <v/>
      </c>
      <c r="AQ13" s="1" t="str">
        <f t="shared" si="18"/>
        <v/>
      </c>
      <c r="AR13" s="1" t="str">
        <f t="shared" si="18"/>
        <v/>
      </c>
      <c r="AS13" s="1" t="str">
        <f t="shared" si="18"/>
        <v/>
      </c>
      <c r="AT13" s="1" t="str">
        <f t="shared" si="18"/>
        <v/>
      </c>
      <c r="AU13" s="1" t="str">
        <f t="shared" si="19"/>
        <v/>
      </c>
      <c r="AV13" s="1" t="str">
        <f t="shared" si="19"/>
        <v/>
      </c>
      <c r="AW13" s="1" t="str">
        <f t="shared" si="19"/>
        <v/>
      </c>
      <c r="AX13" s="1" t="str">
        <f t="shared" si="19"/>
        <v/>
      </c>
      <c r="AY13" s="1" t="str">
        <f t="shared" si="19"/>
        <v/>
      </c>
      <c r="AZ13" s="1" t="str">
        <f t="shared" si="19"/>
        <v/>
      </c>
      <c r="BA13" s="1" t="str">
        <f t="shared" si="19"/>
        <v/>
      </c>
      <c r="BB13" s="1" t="str">
        <f t="shared" si="19"/>
        <v/>
      </c>
      <c r="BC13" s="1" t="str">
        <f t="shared" si="19"/>
        <v/>
      </c>
      <c r="BD13" s="1" t="str">
        <f t="shared" si="19"/>
        <v/>
      </c>
      <c r="BE13" s="1" t="str">
        <f t="shared" si="19"/>
        <v/>
      </c>
      <c r="BF13" s="1" t="str">
        <f t="shared" si="19"/>
        <v/>
      </c>
      <c r="BG13" s="1" t="str">
        <f t="shared" si="19"/>
        <v/>
      </c>
      <c r="BH13" s="1" t="str">
        <f t="shared" si="19"/>
        <v/>
      </c>
      <c r="BI13" s="1" t="str">
        <f t="shared" si="19"/>
        <v/>
      </c>
      <c r="BJ13" s="1" t="str">
        <f t="shared" si="19"/>
        <v/>
      </c>
      <c r="BK13" s="1" t="str">
        <f t="shared" si="20"/>
        <v/>
      </c>
      <c r="BL13" s="1" t="str">
        <f t="shared" si="20"/>
        <v/>
      </c>
      <c r="BM13" s="1" t="str">
        <f t="shared" si="20"/>
        <v/>
      </c>
      <c r="BN13" s="1" t="str">
        <f t="shared" si="20"/>
        <v/>
      </c>
      <c r="BO13" s="1" t="str">
        <f t="shared" si="20"/>
        <v/>
      </c>
      <c r="BP13" s="1" t="str">
        <f t="shared" si="20"/>
        <v/>
      </c>
      <c r="BQ13" s="1" t="str">
        <f t="shared" si="20"/>
        <v/>
      </c>
      <c r="BR13" s="1" t="str">
        <f t="shared" si="20"/>
        <v/>
      </c>
      <c r="BS13" s="1" t="str">
        <f t="shared" si="20"/>
        <v/>
      </c>
      <c r="BT13" s="1" t="str">
        <f t="shared" si="20"/>
        <v/>
      </c>
      <c r="BU13" s="1" t="str">
        <f t="shared" si="20"/>
        <v/>
      </c>
      <c r="BV13" s="1" t="str">
        <f t="shared" si="20"/>
        <v/>
      </c>
      <c r="BW13" s="1" t="str">
        <f t="shared" si="20"/>
        <v/>
      </c>
      <c r="BX13" s="1" t="str">
        <f t="shared" si="20"/>
        <v/>
      </c>
      <c r="BY13" s="1" t="str">
        <f t="shared" si="20"/>
        <v/>
      </c>
      <c r="BZ13" s="1" t="str">
        <f t="shared" si="20"/>
        <v/>
      </c>
      <c r="CA13" s="1" t="str">
        <f t="shared" si="21"/>
        <v/>
      </c>
      <c r="CB13" s="1" t="str">
        <f t="shared" si="21"/>
        <v/>
      </c>
      <c r="CC13" s="1" t="str">
        <f t="shared" si="21"/>
        <v/>
      </c>
      <c r="CD13" s="1" t="str">
        <f t="shared" si="21"/>
        <v/>
      </c>
      <c r="CE13" s="1" t="str">
        <f t="shared" si="21"/>
        <v/>
      </c>
      <c r="CF13" s="1" t="str">
        <f t="shared" si="21"/>
        <v/>
      </c>
      <c r="CG13" s="1" t="str">
        <f t="shared" si="21"/>
        <v/>
      </c>
      <c r="CH13" s="1" t="str">
        <f t="shared" si="21"/>
        <v/>
      </c>
      <c r="CI13" s="1" t="str">
        <f t="shared" si="21"/>
        <v/>
      </c>
      <c r="CJ13" s="1" t="str">
        <f t="shared" si="21"/>
        <v/>
      </c>
      <c r="CK13" s="1" t="str">
        <f t="shared" si="21"/>
        <v/>
      </c>
      <c r="CL13" s="1" t="str">
        <f t="shared" si="21"/>
        <v/>
      </c>
      <c r="CM13" s="1" t="str">
        <f t="shared" si="21"/>
        <v/>
      </c>
      <c r="CN13" s="1" t="str">
        <f t="shared" si="21"/>
        <v/>
      </c>
      <c r="CO13" s="1" t="str">
        <f t="shared" si="21"/>
        <v/>
      </c>
      <c r="CP13" s="1" t="str">
        <f t="shared" si="21"/>
        <v/>
      </c>
      <c r="CQ13" s="1" t="str">
        <f t="shared" si="22"/>
        <v/>
      </c>
      <c r="CR13" s="1" t="str">
        <f t="shared" si="22"/>
        <v/>
      </c>
      <c r="CS13" s="1" t="str">
        <f t="shared" si="22"/>
        <v/>
      </c>
      <c r="CT13" s="1" t="str">
        <f t="shared" si="22"/>
        <v/>
      </c>
      <c r="CU13" s="1" t="str">
        <f t="shared" si="22"/>
        <v/>
      </c>
      <c r="CV13" s="1" t="str">
        <f t="shared" si="22"/>
        <v/>
      </c>
      <c r="CW13" s="1" t="str">
        <f t="shared" si="22"/>
        <v/>
      </c>
      <c r="CX13" s="1" t="str">
        <f t="shared" si="22"/>
        <v/>
      </c>
      <c r="CY13" s="1" t="str">
        <f t="shared" si="22"/>
        <v/>
      </c>
      <c r="CZ13" s="1" t="str">
        <f t="shared" si="22"/>
        <v/>
      </c>
      <c r="DA13" s="1" t="str">
        <f t="shared" si="23"/>
        <v/>
      </c>
      <c r="DB13" s="1" t="str">
        <f t="shared" si="23"/>
        <v/>
      </c>
      <c r="DC13" s="1" t="str">
        <f t="shared" si="23"/>
        <v/>
      </c>
      <c r="DD13" s="1" t="str">
        <f t="shared" si="23"/>
        <v/>
      </c>
      <c r="DE13" s="1" t="str">
        <f t="shared" si="23"/>
        <v/>
      </c>
      <c r="DF13" s="1" t="str">
        <f t="shared" si="23"/>
        <v/>
      </c>
      <c r="DG13" s="1" t="str">
        <f t="shared" si="23"/>
        <v/>
      </c>
      <c r="DH13" s="1" t="str">
        <f t="shared" si="23"/>
        <v/>
      </c>
      <c r="DI13" s="1" t="str">
        <f t="shared" si="23"/>
        <v/>
      </c>
      <c r="DJ13" s="1" t="str">
        <f t="shared" si="23"/>
        <v/>
      </c>
      <c r="DK13" s="1" t="str">
        <f t="shared" si="24"/>
        <v/>
      </c>
      <c r="DL13" s="1" t="str">
        <f t="shared" si="24"/>
        <v/>
      </c>
      <c r="DM13" s="1" t="str">
        <f t="shared" si="24"/>
        <v/>
      </c>
      <c r="DN13" s="1" t="str">
        <f t="shared" si="24"/>
        <v/>
      </c>
      <c r="DO13" s="1" t="str">
        <f t="shared" si="24"/>
        <v/>
      </c>
      <c r="DP13" s="1" t="str">
        <f t="shared" si="24"/>
        <v/>
      </c>
      <c r="DQ13" s="1" t="str">
        <f t="shared" si="24"/>
        <v/>
      </c>
      <c r="DR13" s="1" t="str">
        <f t="shared" si="24"/>
        <v/>
      </c>
      <c r="DS13" s="1" t="str">
        <f t="shared" si="24"/>
        <v/>
      </c>
      <c r="DT13" s="1" t="str">
        <f t="shared" si="24"/>
        <v/>
      </c>
      <c r="DU13" s="1" t="str">
        <f t="shared" si="25"/>
        <v/>
      </c>
      <c r="DV13" s="1" t="str">
        <f t="shared" si="25"/>
        <v/>
      </c>
      <c r="DW13" s="1" t="str">
        <f t="shared" si="25"/>
        <v/>
      </c>
      <c r="DX13" s="1" t="str">
        <f t="shared" si="25"/>
        <v/>
      </c>
      <c r="DY13" s="1" t="str">
        <f t="shared" si="25"/>
        <v/>
      </c>
      <c r="DZ13" s="1" t="str">
        <f t="shared" si="25"/>
        <v/>
      </c>
      <c r="EA13" s="1" t="str">
        <f t="shared" si="25"/>
        <v/>
      </c>
      <c r="EB13" s="1" t="str">
        <f t="shared" si="25"/>
        <v/>
      </c>
      <c r="EC13" s="1" t="str">
        <f t="shared" si="25"/>
        <v/>
      </c>
      <c r="ED13" s="1" t="str">
        <f t="shared" si="25"/>
        <v/>
      </c>
      <c r="EE13" s="1" t="str">
        <f t="shared" si="26"/>
        <v/>
      </c>
      <c r="EF13" s="1" t="str">
        <f t="shared" si="26"/>
        <v/>
      </c>
      <c r="EG13" s="1" t="str">
        <f t="shared" si="26"/>
        <v/>
      </c>
      <c r="EH13" s="1" t="str">
        <f t="shared" si="26"/>
        <v/>
      </c>
      <c r="EI13" s="1" t="str">
        <f t="shared" si="26"/>
        <v/>
      </c>
      <c r="EJ13" s="1" t="str">
        <f t="shared" si="26"/>
        <v/>
      </c>
      <c r="EK13" s="1" t="str">
        <f t="shared" si="26"/>
        <v/>
      </c>
      <c r="EL13" s="1" t="str">
        <f t="shared" si="26"/>
        <v/>
      </c>
      <c r="EM13" s="1" t="str">
        <f t="shared" si="26"/>
        <v/>
      </c>
      <c r="EN13" s="1" t="str">
        <f t="shared" si="26"/>
        <v/>
      </c>
      <c r="EO13" s="1" t="str">
        <f t="shared" si="27"/>
        <v/>
      </c>
      <c r="EP13" s="1" t="str">
        <f t="shared" si="27"/>
        <v/>
      </c>
      <c r="EQ13" s="1" t="str">
        <f t="shared" si="27"/>
        <v/>
      </c>
      <c r="ER13" s="1" t="str">
        <f t="shared" si="27"/>
        <v/>
      </c>
      <c r="ES13" s="1" t="str">
        <f t="shared" si="27"/>
        <v/>
      </c>
      <c r="ET13" s="1" t="str">
        <f t="shared" si="27"/>
        <v/>
      </c>
      <c r="EU13" s="1" t="str">
        <f t="shared" si="27"/>
        <v/>
      </c>
      <c r="EV13" s="1" t="str">
        <f t="shared" si="27"/>
        <v/>
      </c>
      <c r="EW13" s="1" t="str">
        <f t="shared" si="27"/>
        <v/>
      </c>
      <c r="EX13" s="1" t="str">
        <f t="shared" si="27"/>
        <v/>
      </c>
      <c r="EY13" s="1" t="str">
        <f t="shared" si="28"/>
        <v/>
      </c>
      <c r="EZ13" s="1" t="str">
        <f t="shared" si="28"/>
        <v/>
      </c>
      <c r="FA13" s="1" t="str">
        <f t="shared" si="28"/>
        <v/>
      </c>
      <c r="FB13" s="1" t="str">
        <f t="shared" si="28"/>
        <v/>
      </c>
      <c r="FC13" s="1" t="str">
        <f t="shared" si="28"/>
        <v/>
      </c>
      <c r="FD13" s="1" t="str">
        <f t="shared" si="28"/>
        <v/>
      </c>
      <c r="FE13" s="1" t="str">
        <f t="shared" si="28"/>
        <v/>
      </c>
      <c r="FF13" s="1" t="str">
        <f t="shared" si="28"/>
        <v/>
      </c>
      <c r="FG13" s="1" t="str">
        <f t="shared" si="28"/>
        <v/>
      </c>
      <c r="FH13" s="1" t="str">
        <f t="shared" si="28"/>
        <v/>
      </c>
      <c r="FI13" s="1" t="str">
        <f t="shared" si="28"/>
        <v/>
      </c>
      <c r="FJ13" s="1" t="str">
        <f t="shared" si="28"/>
        <v/>
      </c>
      <c r="FK13" s="1" t="str">
        <f t="shared" si="28"/>
        <v/>
      </c>
      <c r="FL13" s="1" t="str">
        <f t="shared" si="28"/>
        <v/>
      </c>
    </row>
    <row r="14" spans="1:168">
      <c r="A14" s="12"/>
      <c r="B14" s="14"/>
      <c r="C14" s="14"/>
      <c r="D14" s="14"/>
      <c r="E14" s="14"/>
      <c r="F14" s="14"/>
      <c r="G14" s="14"/>
      <c r="H14" s="28"/>
      <c r="I14" s="14"/>
      <c r="J14" s="14"/>
      <c r="K14" s="13"/>
      <c r="L14" s="64"/>
      <c r="M14" s="1" t="str">
        <f t="shared" si="16"/>
        <v/>
      </c>
      <c r="N14" s="1" t="str">
        <f t="shared" si="16"/>
        <v/>
      </c>
      <c r="O14" s="1" t="str">
        <f t="shared" si="17"/>
        <v/>
      </c>
      <c r="P14" s="1" t="str">
        <f t="shared" si="17"/>
        <v/>
      </c>
      <c r="Q14" s="1" t="str">
        <f t="shared" si="17"/>
        <v/>
      </c>
      <c r="R14" s="1" t="str">
        <f t="shared" si="17"/>
        <v/>
      </c>
      <c r="S14" s="1" t="str">
        <f t="shared" si="17"/>
        <v/>
      </c>
      <c r="T14" s="1" t="str">
        <f t="shared" si="17"/>
        <v/>
      </c>
      <c r="U14" s="1" t="str">
        <f t="shared" si="17"/>
        <v/>
      </c>
      <c r="V14" s="1" t="str">
        <f t="shared" si="17"/>
        <v/>
      </c>
      <c r="W14" s="1" t="str">
        <f t="shared" si="17"/>
        <v/>
      </c>
      <c r="X14" s="1" t="str">
        <f t="shared" si="17"/>
        <v/>
      </c>
      <c r="Y14" s="1" t="str">
        <f t="shared" si="17"/>
        <v/>
      </c>
      <c r="Z14" s="1" t="str">
        <f t="shared" si="17"/>
        <v/>
      </c>
      <c r="AA14" s="1" t="str">
        <f t="shared" si="17"/>
        <v/>
      </c>
      <c r="AB14" s="1" t="str">
        <f t="shared" si="17"/>
        <v/>
      </c>
      <c r="AC14" s="1" t="str">
        <f t="shared" si="17"/>
        <v/>
      </c>
      <c r="AD14" s="1" t="str">
        <f t="shared" si="17"/>
        <v/>
      </c>
      <c r="AE14" s="1" t="str">
        <f t="shared" si="18"/>
        <v/>
      </c>
      <c r="AF14" s="1" t="str">
        <f t="shared" si="18"/>
        <v/>
      </c>
      <c r="AG14" s="1" t="str">
        <f t="shared" si="18"/>
        <v/>
      </c>
      <c r="AH14" s="1" t="str">
        <f t="shared" si="18"/>
        <v/>
      </c>
      <c r="AI14" s="1" t="str">
        <f t="shared" si="18"/>
        <v/>
      </c>
      <c r="AJ14" s="1" t="str">
        <f t="shared" si="18"/>
        <v/>
      </c>
      <c r="AK14" s="1" t="str">
        <f t="shared" si="18"/>
        <v/>
      </c>
      <c r="AL14" s="1" t="str">
        <f t="shared" si="18"/>
        <v/>
      </c>
      <c r="AM14" s="1" t="str">
        <f t="shared" si="18"/>
        <v/>
      </c>
      <c r="AN14" s="1" t="str">
        <f t="shared" si="18"/>
        <v/>
      </c>
      <c r="AO14" s="1" t="str">
        <f t="shared" si="18"/>
        <v/>
      </c>
      <c r="AP14" s="1" t="str">
        <f t="shared" si="18"/>
        <v/>
      </c>
      <c r="AQ14" s="1" t="str">
        <f t="shared" si="18"/>
        <v/>
      </c>
      <c r="AR14" s="1" t="str">
        <f t="shared" si="18"/>
        <v/>
      </c>
      <c r="AS14" s="1" t="str">
        <f t="shared" si="18"/>
        <v/>
      </c>
      <c r="AT14" s="1" t="str">
        <f t="shared" si="18"/>
        <v/>
      </c>
      <c r="AU14" s="1" t="str">
        <f t="shared" si="19"/>
        <v/>
      </c>
      <c r="AV14" s="1" t="str">
        <f t="shared" si="19"/>
        <v/>
      </c>
      <c r="AW14" s="1" t="str">
        <f t="shared" si="19"/>
        <v/>
      </c>
      <c r="AX14" s="1" t="str">
        <f t="shared" si="19"/>
        <v/>
      </c>
      <c r="AY14" s="1" t="str">
        <f t="shared" si="19"/>
        <v/>
      </c>
      <c r="AZ14" s="1" t="str">
        <f t="shared" si="19"/>
        <v/>
      </c>
      <c r="BA14" s="1" t="str">
        <f t="shared" si="19"/>
        <v/>
      </c>
      <c r="BB14" s="1" t="str">
        <f t="shared" si="19"/>
        <v/>
      </c>
      <c r="BC14" s="1" t="str">
        <f t="shared" si="19"/>
        <v/>
      </c>
      <c r="BD14" s="1" t="str">
        <f t="shared" si="19"/>
        <v/>
      </c>
      <c r="BE14" s="1" t="str">
        <f t="shared" si="19"/>
        <v/>
      </c>
      <c r="BF14" s="1" t="str">
        <f t="shared" si="19"/>
        <v/>
      </c>
      <c r="BG14" s="1" t="str">
        <f t="shared" si="19"/>
        <v/>
      </c>
      <c r="BH14" s="1" t="str">
        <f t="shared" si="19"/>
        <v/>
      </c>
      <c r="BI14" s="1" t="str">
        <f t="shared" si="19"/>
        <v/>
      </c>
      <c r="BJ14" s="1" t="str">
        <f t="shared" si="19"/>
        <v/>
      </c>
      <c r="BK14" s="1" t="str">
        <f t="shared" si="20"/>
        <v/>
      </c>
      <c r="BL14" s="1" t="str">
        <f t="shared" si="20"/>
        <v/>
      </c>
      <c r="BM14" s="1" t="str">
        <f t="shared" si="20"/>
        <v/>
      </c>
      <c r="BN14" s="1" t="str">
        <f t="shared" si="20"/>
        <v/>
      </c>
      <c r="BO14" s="1" t="str">
        <f t="shared" si="20"/>
        <v/>
      </c>
      <c r="BP14" s="1" t="str">
        <f t="shared" si="20"/>
        <v/>
      </c>
      <c r="BQ14" s="1" t="str">
        <f t="shared" si="20"/>
        <v/>
      </c>
      <c r="BR14" s="1" t="str">
        <f t="shared" si="20"/>
        <v/>
      </c>
      <c r="BS14" s="1" t="str">
        <f t="shared" si="20"/>
        <v/>
      </c>
      <c r="BT14" s="1" t="str">
        <f t="shared" si="20"/>
        <v/>
      </c>
      <c r="BU14" s="1" t="str">
        <f t="shared" si="20"/>
        <v/>
      </c>
      <c r="BV14" s="1" t="str">
        <f t="shared" si="20"/>
        <v/>
      </c>
      <c r="BW14" s="1" t="str">
        <f t="shared" si="20"/>
        <v/>
      </c>
      <c r="BX14" s="1" t="str">
        <f t="shared" si="20"/>
        <v/>
      </c>
      <c r="BY14" s="1" t="str">
        <f t="shared" si="20"/>
        <v/>
      </c>
      <c r="BZ14" s="1" t="str">
        <f t="shared" si="20"/>
        <v/>
      </c>
      <c r="CA14" s="1" t="str">
        <f t="shared" si="21"/>
        <v/>
      </c>
      <c r="CB14" s="1" t="str">
        <f t="shared" si="21"/>
        <v/>
      </c>
      <c r="CC14" s="1" t="str">
        <f t="shared" si="21"/>
        <v/>
      </c>
      <c r="CD14" s="1" t="str">
        <f t="shared" si="21"/>
        <v/>
      </c>
      <c r="CE14" s="1" t="str">
        <f t="shared" si="21"/>
        <v/>
      </c>
      <c r="CF14" s="1" t="str">
        <f t="shared" si="21"/>
        <v/>
      </c>
      <c r="CG14" s="1" t="str">
        <f t="shared" si="21"/>
        <v/>
      </c>
      <c r="CH14" s="1" t="str">
        <f t="shared" si="21"/>
        <v/>
      </c>
      <c r="CI14" s="1" t="str">
        <f t="shared" si="21"/>
        <v/>
      </c>
      <c r="CJ14" s="1" t="str">
        <f t="shared" si="21"/>
        <v/>
      </c>
      <c r="CK14" s="1" t="str">
        <f t="shared" si="21"/>
        <v/>
      </c>
      <c r="CL14" s="1" t="str">
        <f t="shared" si="21"/>
        <v/>
      </c>
      <c r="CM14" s="1" t="str">
        <f t="shared" si="21"/>
        <v/>
      </c>
      <c r="CN14" s="1" t="str">
        <f t="shared" si="21"/>
        <v/>
      </c>
      <c r="CO14" s="1" t="str">
        <f t="shared" si="21"/>
        <v/>
      </c>
      <c r="CP14" s="1" t="str">
        <f t="shared" si="21"/>
        <v/>
      </c>
      <c r="CQ14" s="1" t="str">
        <f t="shared" si="22"/>
        <v/>
      </c>
      <c r="CR14" s="1" t="str">
        <f t="shared" si="22"/>
        <v/>
      </c>
      <c r="CS14" s="1" t="str">
        <f t="shared" si="22"/>
        <v/>
      </c>
      <c r="CT14" s="1" t="str">
        <f t="shared" si="22"/>
        <v/>
      </c>
      <c r="CU14" s="1" t="str">
        <f t="shared" si="22"/>
        <v/>
      </c>
      <c r="CV14" s="1" t="str">
        <f t="shared" si="22"/>
        <v/>
      </c>
      <c r="CW14" s="1" t="str">
        <f t="shared" si="22"/>
        <v/>
      </c>
      <c r="CX14" s="1" t="str">
        <f t="shared" si="22"/>
        <v/>
      </c>
      <c r="CY14" s="1" t="str">
        <f t="shared" si="22"/>
        <v/>
      </c>
      <c r="CZ14" s="1" t="str">
        <f t="shared" si="22"/>
        <v/>
      </c>
      <c r="DA14" s="1" t="str">
        <f t="shared" si="23"/>
        <v/>
      </c>
      <c r="DB14" s="1" t="str">
        <f t="shared" si="23"/>
        <v/>
      </c>
      <c r="DC14" s="1" t="str">
        <f t="shared" si="23"/>
        <v/>
      </c>
      <c r="DD14" s="1" t="str">
        <f t="shared" si="23"/>
        <v/>
      </c>
      <c r="DE14" s="1" t="str">
        <f t="shared" si="23"/>
        <v/>
      </c>
      <c r="DF14" s="1" t="str">
        <f t="shared" si="23"/>
        <v/>
      </c>
      <c r="DG14" s="1" t="str">
        <f t="shared" si="23"/>
        <v/>
      </c>
      <c r="DH14" s="1" t="str">
        <f t="shared" si="23"/>
        <v/>
      </c>
      <c r="DI14" s="1" t="str">
        <f t="shared" si="23"/>
        <v/>
      </c>
      <c r="DJ14" s="1" t="str">
        <f t="shared" si="23"/>
        <v/>
      </c>
      <c r="DK14" s="1" t="str">
        <f t="shared" si="24"/>
        <v/>
      </c>
      <c r="DL14" s="1" t="str">
        <f t="shared" si="24"/>
        <v/>
      </c>
      <c r="DM14" s="1" t="str">
        <f t="shared" si="24"/>
        <v/>
      </c>
      <c r="DN14" s="1" t="str">
        <f t="shared" si="24"/>
        <v/>
      </c>
      <c r="DO14" s="1" t="str">
        <f t="shared" si="24"/>
        <v/>
      </c>
      <c r="DP14" s="1" t="str">
        <f t="shared" si="24"/>
        <v/>
      </c>
      <c r="DQ14" s="1" t="str">
        <f t="shared" si="24"/>
        <v/>
      </c>
      <c r="DR14" s="1" t="str">
        <f t="shared" si="24"/>
        <v/>
      </c>
      <c r="DS14" s="1" t="str">
        <f t="shared" si="24"/>
        <v/>
      </c>
      <c r="DT14" s="1" t="str">
        <f t="shared" si="24"/>
        <v/>
      </c>
      <c r="DU14" s="1" t="str">
        <f t="shared" si="25"/>
        <v/>
      </c>
      <c r="DV14" s="1" t="str">
        <f t="shared" si="25"/>
        <v/>
      </c>
      <c r="DW14" s="1" t="str">
        <f t="shared" si="25"/>
        <v/>
      </c>
      <c r="DX14" s="1" t="str">
        <f t="shared" si="25"/>
        <v/>
      </c>
      <c r="DY14" s="1" t="str">
        <f t="shared" si="25"/>
        <v/>
      </c>
      <c r="DZ14" s="1" t="str">
        <f t="shared" si="25"/>
        <v/>
      </c>
      <c r="EA14" s="1" t="str">
        <f t="shared" si="25"/>
        <v/>
      </c>
      <c r="EB14" s="1" t="str">
        <f t="shared" si="25"/>
        <v/>
      </c>
      <c r="EC14" s="1" t="str">
        <f t="shared" si="25"/>
        <v/>
      </c>
      <c r="ED14" s="1" t="str">
        <f t="shared" si="25"/>
        <v/>
      </c>
      <c r="EE14" s="1" t="str">
        <f t="shared" si="26"/>
        <v/>
      </c>
      <c r="EF14" s="1" t="str">
        <f t="shared" si="26"/>
        <v/>
      </c>
      <c r="EG14" s="1" t="str">
        <f t="shared" si="26"/>
        <v/>
      </c>
      <c r="EH14" s="1" t="str">
        <f t="shared" si="26"/>
        <v/>
      </c>
      <c r="EI14" s="1" t="str">
        <f t="shared" si="26"/>
        <v/>
      </c>
      <c r="EJ14" s="1" t="str">
        <f t="shared" si="26"/>
        <v/>
      </c>
      <c r="EK14" s="1" t="str">
        <f t="shared" si="26"/>
        <v/>
      </c>
      <c r="EL14" s="1" t="str">
        <f t="shared" si="26"/>
        <v/>
      </c>
      <c r="EM14" s="1" t="str">
        <f t="shared" si="26"/>
        <v/>
      </c>
      <c r="EN14" s="1" t="str">
        <f t="shared" si="26"/>
        <v/>
      </c>
      <c r="EO14" s="1" t="str">
        <f t="shared" si="27"/>
        <v/>
      </c>
      <c r="EP14" s="1" t="str">
        <f t="shared" si="27"/>
        <v/>
      </c>
      <c r="EQ14" s="1" t="str">
        <f t="shared" si="27"/>
        <v/>
      </c>
      <c r="ER14" s="1" t="str">
        <f t="shared" si="27"/>
        <v/>
      </c>
      <c r="ES14" s="1" t="str">
        <f t="shared" si="27"/>
        <v/>
      </c>
      <c r="ET14" s="1" t="str">
        <f t="shared" si="27"/>
        <v/>
      </c>
      <c r="EU14" s="1" t="str">
        <f t="shared" si="27"/>
        <v/>
      </c>
      <c r="EV14" s="1" t="str">
        <f t="shared" si="27"/>
        <v/>
      </c>
      <c r="EW14" s="1" t="str">
        <f t="shared" si="27"/>
        <v/>
      </c>
      <c r="EX14" s="1" t="str">
        <f t="shared" si="27"/>
        <v/>
      </c>
      <c r="EY14" s="1" t="str">
        <f t="shared" si="28"/>
        <v/>
      </c>
      <c r="EZ14" s="1" t="str">
        <f t="shared" si="28"/>
        <v/>
      </c>
      <c r="FA14" s="1" t="str">
        <f t="shared" si="28"/>
        <v/>
      </c>
      <c r="FB14" s="1" t="str">
        <f t="shared" si="28"/>
        <v/>
      </c>
      <c r="FC14" s="1" t="str">
        <f t="shared" si="28"/>
        <v/>
      </c>
      <c r="FD14" s="1" t="str">
        <f t="shared" si="28"/>
        <v/>
      </c>
      <c r="FE14" s="1" t="str">
        <f t="shared" si="28"/>
        <v/>
      </c>
      <c r="FF14" s="1" t="str">
        <f t="shared" si="28"/>
        <v/>
      </c>
      <c r="FG14" s="1" t="str">
        <f t="shared" si="28"/>
        <v/>
      </c>
      <c r="FH14" s="1" t="str">
        <f t="shared" si="28"/>
        <v/>
      </c>
      <c r="FI14" s="1" t="str">
        <f t="shared" si="28"/>
        <v/>
      </c>
      <c r="FJ14" s="1" t="str">
        <f t="shared" si="28"/>
        <v/>
      </c>
      <c r="FK14" s="1" t="str">
        <f t="shared" si="28"/>
        <v/>
      </c>
      <c r="FL14" s="1" t="str">
        <f t="shared" si="28"/>
        <v/>
      </c>
    </row>
    <row r="15" spans="1:168">
      <c r="A15" s="12"/>
      <c r="B15" s="14"/>
      <c r="C15" s="14"/>
      <c r="D15" s="14"/>
      <c r="E15" s="14"/>
      <c r="F15" s="14"/>
      <c r="G15" s="14"/>
      <c r="H15" s="28"/>
      <c r="I15" s="14"/>
      <c r="J15" s="14"/>
      <c r="K15" s="13"/>
      <c r="L15" s="64"/>
      <c r="M15" s="1" t="str">
        <f t="shared" si="16"/>
        <v/>
      </c>
      <c r="N15" s="1" t="str">
        <f t="shared" si="16"/>
        <v/>
      </c>
      <c r="O15" s="1" t="str">
        <f t="shared" si="17"/>
        <v/>
      </c>
      <c r="P15" s="1" t="str">
        <f t="shared" si="17"/>
        <v/>
      </c>
      <c r="Q15" s="1" t="str">
        <f t="shared" si="17"/>
        <v/>
      </c>
      <c r="R15" s="1" t="str">
        <f t="shared" si="17"/>
        <v/>
      </c>
      <c r="S15" s="1" t="str">
        <f t="shared" si="17"/>
        <v/>
      </c>
      <c r="T15" s="1" t="str">
        <f t="shared" si="17"/>
        <v/>
      </c>
      <c r="U15" s="1" t="str">
        <f t="shared" si="17"/>
        <v/>
      </c>
      <c r="V15" s="1" t="str">
        <f t="shared" si="17"/>
        <v/>
      </c>
      <c r="W15" s="1" t="str">
        <f t="shared" si="17"/>
        <v/>
      </c>
      <c r="X15" s="1" t="str">
        <f t="shared" si="17"/>
        <v/>
      </c>
      <c r="Y15" s="1" t="str">
        <f t="shared" si="17"/>
        <v/>
      </c>
      <c r="Z15" s="1" t="str">
        <f t="shared" si="17"/>
        <v/>
      </c>
      <c r="AA15" s="1" t="str">
        <f t="shared" si="17"/>
        <v/>
      </c>
      <c r="AB15" s="1" t="str">
        <f t="shared" si="17"/>
        <v/>
      </c>
      <c r="AC15" s="1" t="str">
        <f t="shared" si="17"/>
        <v/>
      </c>
      <c r="AD15" s="1" t="str">
        <f t="shared" si="17"/>
        <v/>
      </c>
      <c r="AE15" s="1" t="str">
        <f t="shared" si="18"/>
        <v/>
      </c>
      <c r="AF15" s="1" t="str">
        <f t="shared" si="18"/>
        <v/>
      </c>
      <c r="AG15" s="1" t="str">
        <f t="shared" si="18"/>
        <v/>
      </c>
      <c r="AH15" s="1" t="str">
        <f t="shared" si="18"/>
        <v/>
      </c>
      <c r="AI15" s="1" t="str">
        <f t="shared" si="18"/>
        <v/>
      </c>
      <c r="AJ15" s="1" t="str">
        <f t="shared" si="18"/>
        <v/>
      </c>
      <c r="AK15" s="1" t="str">
        <f t="shared" si="18"/>
        <v/>
      </c>
      <c r="AL15" s="1" t="str">
        <f t="shared" si="18"/>
        <v/>
      </c>
      <c r="AM15" s="1" t="str">
        <f t="shared" si="18"/>
        <v/>
      </c>
      <c r="AN15" s="1" t="str">
        <f t="shared" si="18"/>
        <v/>
      </c>
      <c r="AO15" s="1" t="str">
        <f t="shared" si="18"/>
        <v/>
      </c>
      <c r="AP15" s="1" t="str">
        <f t="shared" si="18"/>
        <v/>
      </c>
      <c r="AQ15" s="1" t="str">
        <f t="shared" si="18"/>
        <v/>
      </c>
      <c r="AR15" s="1" t="str">
        <f t="shared" si="18"/>
        <v/>
      </c>
      <c r="AS15" s="1" t="str">
        <f t="shared" si="18"/>
        <v/>
      </c>
      <c r="AT15" s="1" t="str">
        <f t="shared" si="18"/>
        <v/>
      </c>
      <c r="AU15" s="1" t="str">
        <f t="shared" si="19"/>
        <v/>
      </c>
      <c r="AV15" s="1" t="str">
        <f t="shared" si="19"/>
        <v/>
      </c>
      <c r="AW15" s="1" t="str">
        <f t="shared" si="19"/>
        <v/>
      </c>
      <c r="AX15" s="1" t="str">
        <f t="shared" si="19"/>
        <v/>
      </c>
      <c r="AY15" s="1" t="str">
        <f t="shared" si="19"/>
        <v/>
      </c>
      <c r="AZ15" s="1" t="str">
        <f t="shared" si="19"/>
        <v/>
      </c>
      <c r="BA15" s="1" t="str">
        <f t="shared" si="19"/>
        <v/>
      </c>
      <c r="BB15" s="1" t="str">
        <f t="shared" si="19"/>
        <v/>
      </c>
      <c r="BC15" s="1" t="str">
        <f t="shared" si="19"/>
        <v/>
      </c>
      <c r="BD15" s="1" t="str">
        <f t="shared" si="19"/>
        <v/>
      </c>
      <c r="BE15" s="1" t="str">
        <f t="shared" si="19"/>
        <v/>
      </c>
      <c r="BF15" s="1" t="str">
        <f t="shared" si="19"/>
        <v/>
      </c>
      <c r="BG15" s="1" t="str">
        <f t="shared" si="19"/>
        <v/>
      </c>
      <c r="BH15" s="1" t="str">
        <f t="shared" si="19"/>
        <v/>
      </c>
      <c r="BI15" s="1" t="str">
        <f t="shared" si="19"/>
        <v/>
      </c>
      <c r="BJ15" s="1" t="str">
        <f t="shared" si="19"/>
        <v/>
      </c>
      <c r="BK15" s="1" t="str">
        <f t="shared" si="20"/>
        <v/>
      </c>
      <c r="BL15" s="1" t="str">
        <f t="shared" si="20"/>
        <v/>
      </c>
      <c r="BM15" s="1" t="str">
        <f t="shared" si="20"/>
        <v/>
      </c>
      <c r="BN15" s="1" t="str">
        <f t="shared" si="20"/>
        <v/>
      </c>
      <c r="BO15" s="1" t="str">
        <f t="shared" si="20"/>
        <v/>
      </c>
      <c r="BP15" s="1" t="str">
        <f t="shared" si="20"/>
        <v/>
      </c>
      <c r="BQ15" s="1" t="str">
        <f t="shared" si="20"/>
        <v/>
      </c>
      <c r="BR15" s="1" t="str">
        <f t="shared" si="20"/>
        <v/>
      </c>
      <c r="BS15" s="1" t="str">
        <f t="shared" si="20"/>
        <v/>
      </c>
      <c r="BT15" s="1" t="str">
        <f t="shared" si="20"/>
        <v/>
      </c>
      <c r="BU15" s="1" t="str">
        <f t="shared" si="20"/>
        <v/>
      </c>
      <c r="BV15" s="1" t="str">
        <f t="shared" si="20"/>
        <v/>
      </c>
      <c r="BW15" s="1" t="str">
        <f t="shared" si="20"/>
        <v/>
      </c>
      <c r="BX15" s="1" t="str">
        <f t="shared" si="20"/>
        <v/>
      </c>
      <c r="BY15" s="1" t="str">
        <f t="shared" si="20"/>
        <v/>
      </c>
      <c r="BZ15" s="1" t="str">
        <f t="shared" si="20"/>
        <v/>
      </c>
      <c r="CA15" s="1" t="str">
        <f t="shared" si="21"/>
        <v/>
      </c>
      <c r="CB15" s="1" t="str">
        <f t="shared" si="21"/>
        <v/>
      </c>
      <c r="CC15" s="1" t="str">
        <f t="shared" si="21"/>
        <v/>
      </c>
      <c r="CD15" s="1" t="str">
        <f t="shared" si="21"/>
        <v/>
      </c>
      <c r="CE15" s="1" t="str">
        <f t="shared" si="21"/>
        <v/>
      </c>
      <c r="CF15" s="1" t="str">
        <f t="shared" si="21"/>
        <v/>
      </c>
      <c r="CG15" s="1" t="str">
        <f t="shared" si="21"/>
        <v/>
      </c>
      <c r="CH15" s="1" t="str">
        <f t="shared" si="21"/>
        <v/>
      </c>
      <c r="CI15" s="1" t="str">
        <f t="shared" si="21"/>
        <v/>
      </c>
      <c r="CJ15" s="1" t="str">
        <f t="shared" si="21"/>
        <v/>
      </c>
      <c r="CK15" s="1" t="str">
        <f t="shared" si="21"/>
        <v/>
      </c>
      <c r="CL15" s="1" t="str">
        <f t="shared" si="21"/>
        <v/>
      </c>
      <c r="CM15" s="1" t="str">
        <f t="shared" si="21"/>
        <v/>
      </c>
      <c r="CN15" s="1" t="str">
        <f t="shared" si="21"/>
        <v/>
      </c>
      <c r="CO15" s="1" t="str">
        <f t="shared" si="21"/>
        <v/>
      </c>
      <c r="CP15" s="1" t="str">
        <f t="shared" si="21"/>
        <v/>
      </c>
      <c r="CQ15" s="1" t="str">
        <f t="shared" si="22"/>
        <v/>
      </c>
      <c r="CR15" s="1" t="str">
        <f t="shared" si="22"/>
        <v/>
      </c>
      <c r="CS15" s="1" t="str">
        <f t="shared" si="22"/>
        <v/>
      </c>
      <c r="CT15" s="1" t="str">
        <f t="shared" si="22"/>
        <v/>
      </c>
      <c r="CU15" s="1" t="str">
        <f t="shared" si="22"/>
        <v/>
      </c>
      <c r="CV15" s="1" t="str">
        <f t="shared" si="22"/>
        <v/>
      </c>
      <c r="CW15" s="1" t="str">
        <f t="shared" si="22"/>
        <v/>
      </c>
      <c r="CX15" s="1" t="str">
        <f t="shared" si="22"/>
        <v/>
      </c>
      <c r="CY15" s="1" t="str">
        <f t="shared" si="22"/>
        <v/>
      </c>
      <c r="CZ15" s="1" t="str">
        <f t="shared" si="22"/>
        <v/>
      </c>
      <c r="DA15" s="1" t="str">
        <f t="shared" si="23"/>
        <v/>
      </c>
      <c r="DB15" s="1" t="str">
        <f t="shared" si="23"/>
        <v/>
      </c>
      <c r="DC15" s="1" t="str">
        <f t="shared" si="23"/>
        <v/>
      </c>
      <c r="DD15" s="1" t="str">
        <f t="shared" si="23"/>
        <v/>
      </c>
      <c r="DE15" s="1" t="str">
        <f t="shared" si="23"/>
        <v/>
      </c>
      <c r="DF15" s="1" t="str">
        <f t="shared" si="23"/>
        <v/>
      </c>
      <c r="DG15" s="1" t="str">
        <f t="shared" si="23"/>
        <v/>
      </c>
      <c r="DH15" s="1" t="str">
        <f t="shared" si="23"/>
        <v/>
      </c>
      <c r="DI15" s="1" t="str">
        <f t="shared" si="23"/>
        <v/>
      </c>
      <c r="DJ15" s="1" t="str">
        <f t="shared" si="23"/>
        <v/>
      </c>
      <c r="DK15" s="1" t="str">
        <f t="shared" si="24"/>
        <v/>
      </c>
      <c r="DL15" s="1" t="str">
        <f t="shared" si="24"/>
        <v/>
      </c>
      <c r="DM15" s="1" t="str">
        <f t="shared" si="24"/>
        <v/>
      </c>
      <c r="DN15" s="1" t="str">
        <f t="shared" si="24"/>
        <v/>
      </c>
      <c r="DO15" s="1" t="str">
        <f t="shared" si="24"/>
        <v/>
      </c>
      <c r="DP15" s="1" t="str">
        <f t="shared" si="24"/>
        <v/>
      </c>
      <c r="DQ15" s="1" t="str">
        <f t="shared" si="24"/>
        <v/>
      </c>
      <c r="DR15" s="1" t="str">
        <f t="shared" si="24"/>
        <v/>
      </c>
      <c r="DS15" s="1" t="str">
        <f t="shared" si="24"/>
        <v/>
      </c>
      <c r="DT15" s="1" t="str">
        <f t="shared" si="24"/>
        <v/>
      </c>
      <c r="DU15" s="1" t="str">
        <f t="shared" si="25"/>
        <v/>
      </c>
      <c r="DV15" s="1" t="str">
        <f t="shared" si="25"/>
        <v/>
      </c>
      <c r="DW15" s="1" t="str">
        <f t="shared" si="25"/>
        <v/>
      </c>
      <c r="DX15" s="1" t="str">
        <f t="shared" si="25"/>
        <v/>
      </c>
      <c r="DY15" s="1" t="str">
        <f t="shared" si="25"/>
        <v/>
      </c>
      <c r="DZ15" s="1" t="str">
        <f t="shared" si="25"/>
        <v/>
      </c>
      <c r="EA15" s="1" t="str">
        <f t="shared" si="25"/>
        <v/>
      </c>
      <c r="EB15" s="1" t="str">
        <f t="shared" si="25"/>
        <v/>
      </c>
      <c r="EC15" s="1" t="str">
        <f t="shared" si="25"/>
        <v/>
      </c>
      <c r="ED15" s="1" t="str">
        <f t="shared" si="25"/>
        <v/>
      </c>
      <c r="EE15" s="1" t="str">
        <f t="shared" si="26"/>
        <v/>
      </c>
      <c r="EF15" s="1" t="str">
        <f t="shared" si="26"/>
        <v/>
      </c>
      <c r="EG15" s="1" t="str">
        <f t="shared" si="26"/>
        <v/>
      </c>
      <c r="EH15" s="1" t="str">
        <f t="shared" si="26"/>
        <v/>
      </c>
      <c r="EI15" s="1" t="str">
        <f t="shared" si="26"/>
        <v/>
      </c>
      <c r="EJ15" s="1" t="str">
        <f t="shared" si="26"/>
        <v/>
      </c>
      <c r="EK15" s="1" t="str">
        <f t="shared" si="26"/>
        <v/>
      </c>
      <c r="EL15" s="1" t="str">
        <f t="shared" si="26"/>
        <v/>
      </c>
      <c r="EM15" s="1" t="str">
        <f t="shared" si="26"/>
        <v/>
      </c>
      <c r="EN15" s="1" t="str">
        <f t="shared" si="26"/>
        <v/>
      </c>
      <c r="EO15" s="1" t="str">
        <f t="shared" si="27"/>
        <v/>
      </c>
      <c r="EP15" s="1" t="str">
        <f t="shared" si="27"/>
        <v/>
      </c>
      <c r="EQ15" s="1" t="str">
        <f t="shared" si="27"/>
        <v/>
      </c>
      <c r="ER15" s="1" t="str">
        <f t="shared" si="27"/>
        <v/>
      </c>
      <c r="ES15" s="1" t="str">
        <f t="shared" si="27"/>
        <v/>
      </c>
      <c r="ET15" s="1" t="str">
        <f t="shared" si="27"/>
        <v/>
      </c>
      <c r="EU15" s="1" t="str">
        <f t="shared" si="27"/>
        <v/>
      </c>
      <c r="EV15" s="1" t="str">
        <f t="shared" si="27"/>
        <v/>
      </c>
      <c r="EW15" s="1" t="str">
        <f t="shared" si="27"/>
        <v/>
      </c>
      <c r="EX15" s="1" t="str">
        <f t="shared" si="27"/>
        <v/>
      </c>
      <c r="EY15" s="1" t="str">
        <f t="shared" si="28"/>
        <v/>
      </c>
      <c r="EZ15" s="1" t="str">
        <f t="shared" si="28"/>
        <v/>
      </c>
      <c r="FA15" s="1" t="str">
        <f t="shared" si="28"/>
        <v/>
      </c>
      <c r="FB15" s="1" t="str">
        <f t="shared" si="28"/>
        <v/>
      </c>
      <c r="FC15" s="1" t="str">
        <f t="shared" si="28"/>
        <v/>
      </c>
      <c r="FD15" s="1" t="str">
        <f t="shared" si="28"/>
        <v/>
      </c>
      <c r="FE15" s="1" t="str">
        <f t="shared" si="28"/>
        <v/>
      </c>
      <c r="FF15" s="1" t="str">
        <f t="shared" si="28"/>
        <v/>
      </c>
      <c r="FG15" s="1" t="str">
        <f t="shared" si="28"/>
        <v/>
      </c>
      <c r="FH15" s="1" t="str">
        <f t="shared" si="28"/>
        <v/>
      </c>
      <c r="FI15" s="1" t="str">
        <f t="shared" si="28"/>
        <v/>
      </c>
      <c r="FJ15" s="1" t="str">
        <f t="shared" si="28"/>
        <v/>
      </c>
      <c r="FK15" s="1" t="str">
        <f t="shared" si="28"/>
        <v/>
      </c>
      <c r="FL15" s="1" t="str">
        <f t="shared" si="28"/>
        <v/>
      </c>
    </row>
    <row r="16" spans="1:168">
      <c r="A16" s="12"/>
      <c r="B16" s="14"/>
      <c r="C16" s="14"/>
      <c r="D16" s="14"/>
      <c r="E16" s="14"/>
      <c r="F16" s="14"/>
      <c r="G16" s="14"/>
      <c r="H16" s="28"/>
      <c r="I16" s="14"/>
      <c r="J16" s="14"/>
      <c r="K16" s="13"/>
      <c r="L16" s="64"/>
      <c r="M16" s="1" t="str">
        <f t="shared" si="16"/>
        <v/>
      </c>
      <c r="N16" s="1" t="str">
        <f t="shared" si="16"/>
        <v/>
      </c>
      <c r="O16" s="1" t="str">
        <f t="shared" si="17"/>
        <v/>
      </c>
      <c r="P16" s="1" t="str">
        <f t="shared" si="17"/>
        <v/>
      </c>
      <c r="Q16" s="1" t="str">
        <f t="shared" si="17"/>
        <v/>
      </c>
      <c r="R16" s="1" t="str">
        <f t="shared" si="17"/>
        <v/>
      </c>
      <c r="S16" s="1" t="str">
        <f t="shared" si="17"/>
        <v/>
      </c>
      <c r="T16" s="1" t="str">
        <f t="shared" si="17"/>
        <v/>
      </c>
      <c r="U16" s="1" t="str">
        <f t="shared" si="17"/>
        <v/>
      </c>
      <c r="V16" s="1" t="str">
        <f t="shared" si="17"/>
        <v/>
      </c>
      <c r="W16" s="1" t="str">
        <f t="shared" si="17"/>
        <v/>
      </c>
      <c r="X16" s="1" t="str">
        <f t="shared" si="17"/>
        <v/>
      </c>
      <c r="Y16" s="1" t="str">
        <f t="shared" si="17"/>
        <v/>
      </c>
      <c r="Z16" s="1" t="str">
        <f t="shared" si="17"/>
        <v/>
      </c>
      <c r="AA16" s="1" t="str">
        <f t="shared" si="17"/>
        <v/>
      </c>
      <c r="AB16" s="1" t="str">
        <f t="shared" si="17"/>
        <v/>
      </c>
      <c r="AC16" s="1" t="str">
        <f t="shared" si="17"/>
        <v/>
      </c>
      <c r="AD16" s="1" t="str">
        <f t="shared" si="17"/>
        <v/>
      </c>
      <c r="AE16" s="1" t="str">
        <f t="shared" si="18"/>
        <v/>
      </c>
      <c r="AF16" s="1" t="str">
        <f t="shared" si="18"/>
        <v/>
      </c>
      <c r="AG16" s="1" t="str">
        <f t="shared" si="18"/>
        <v/>
      </c>
      <c r="AH16" s="1" t="str">
        <f t="shared" si="18"/>
        <v/>
      </c>
      <c r="AI16" s="1" t="str">
        <f t="shared" si="18"/>
        <v/>
      </c>
      <c r="AJ16" s="1" t="str">
        <f t="shared" si="18"/>
        <v/>
      </c>
      <c r="AK16" s="1" t="str">
        <f t="shared" si="18"/>
        <v/>
      </c>
      <c r="AL16" s="1" t="str">
        <f t="shared" si="18"/>
        <v/>
      </c>
      <c r="AM16" s="1" t="str">
        <f t="shared" si="18"/>
        <v/>
      </c>
      <c r="AN16" s="1" t="str">
        <f t="shared" si="18"/>
        <v/>
      </c>
      <c r="AO16" s="1" t="str">
        <f t="shared" si="18"/>
        <v/>
      </c>
      <c r="AP16" s="1" t="str">
        <f t="shared" si="18"/>
        <v/>
      </c>
      <c r="AQ16" s="1" t="str">
        <f t="shared" si="18"/>
        <v/>
      </c>
      <c r="AR16" s="1" t="str">
        <f t="shared" si="18"/>
        <v/>
      </c>
      <c r="AS16" s="1" t="str">
        <f t="shared" si="18"/>
        <v/>
      </c>
      <c r="AT16" s="1" t="str">
        <f t="shared" si="18"/>
        <v/>
      </c>
      <c r="AU16" s="1" t="str">
        <f t="shared" si="19"/>
        <v/>
      </c>
      <c r="AV16" s="1" t="str">
        <f t="shared" si="19"/>
        <v/>
      </c>
      <c r="AW16" s="1" t="str">
        <f t="shared" si="19"/>
        <v/>
      </c>
      <c r="AX16" s="1" t="str">
        <f t="shared" si="19"/>
        <v/>
      </c>
      <c r="AY16" s="1" t="str">
        <f t="shared" si="19"/>
        <v/>
      </c>
      <c r="AZ16" s="1" t="str">
        <f t="shared" si="19"/>
        <v/>
      </c>
      <c r="BA16" s="1" t="str">
        <f t="shared" si="19"/>
        <v/>
      </c>
      <c r="BB16" s="1" t="str">
        <f t="shared" si="19"/>
        <v/>
      </c>
      <c r="BC16" s="1" t="str">
        <f t="shared" si="19"/>
        <v/>
      </c>
      <c r="BD16" s="1" t="str">
        <f t="shared" si="19"/>
        <v/>
      </c>
      <c r="BE16" s="1" t="str">
        <f t="shared" si="19"/>
        <v/>
      </c>
      <c r="BF16" s="1" t="str">
        <f t="shared" si="19"/>
        <v/>
      </c>
      <c r="BG16" s="1" t="str">
        <f t="shared" si="19"/>
        <v/>
      </c>
      <c r="BH16" s="1" t="str">
        <f t="shared" si="19"/>
        <v/>
      </c>
      <c r="BI16" s="1" t="str">
        <f t="shared" si="19"/>
        <v/>
      </c>
      <c r="BJ16" s="1" t="str">
        <f t="shared" si="19"/>
        <v/>
      </c>
      <c r="BK16" s="1" t="str">
        <f t="shared" si="20"/>
        <v/>
      </c>
      <c r="BL16" s="1" t="str">
        <f t="shared" si="20"/>
        <v/>
      </c>
      <c r="BM16" s="1" t="str">
        <f t="shared" si="20"/>
        <v/>
      </c>
      <c r="BN16" s="1" t="str">
        <f t="shared" si="20"/>
        <v/>
      </c>
      <c r="BO16" s="1" t="str">
        <f t="shared" si="20"/>
        <v/>
      </c>
      <c r="BP16" s="1" t="str">
        <f t="shared" si="20"/>
        <v/>
      </c>
      <c r="BQ16" s="1" t="str">
        <f t="shared" si="20"/>
        <v/>
      </c>
      <c r="BR16" s="1" t="str">
        <f t="shared" si="20"/>
        <v/>
      </c>
      <c r="BS16" s="1" t="str">
        <f t="shared" si="20"/>
        <v/>
      </c>
      <c r="BT16" s="1" t="str">
        <f t="shared" si="20"/>
        <v/>
      </c>
      <c r="BU16" s="1" t="str">
        <f t="shared" si="20"/>
        <v/>
      </c>
      <c r="BV16" s="1" t="str">
        <f t="shared" si="20"/>
        <v/>
      </c>
      <c r="BW16" s="1" t="str">
        <f t="shared" si="20"/>
        <v/>
      </c>
      <c r="BX16" s="1" t="str">
        <f t="shared" si="20"/>
        <v/>
      </c>
      <c r="BY16" s="1" t="str">
        <f t="shared" si="20"/>
        <v/>
      </c>
      <c r="BZ16" s="1" t="str">
        <f t="shared" si="20"/>
        <v/>
      </c>
      <c r="CA16" s="1" t="str">
        <f t="shared" si="21"/>
        <v/>
      </c>
      <c r="CB16" s="1" t="str">
        <f t="shared" si="21"/>
        <v/>
      </c>
      <c r="CC16" s="1" t="str">
        <f t="shared" si="21"/>
        <v/>
      </c>
      <c r="CD16" s="1" t="str">
        <f t="shared" si="21"/>
        <v/>
      </c>
      <c r="CE16" s="1" t="str">
        <f t="shared" si="21"/>
        <v/>
      </c>
      <c r="CF16" s="1" t="str">
        <f t="shared" si="21"/>
        <v/>
      </c>
      <c r="CG16" s="1" t="str">
        <f t="shared" si="21"/>
        <v/>
      </c>
      <c r="CH16" s="1" t="str">
        <f t="shared" si="21"/>
        <v/>
      </c>
      <c r="CI16" s="1" t="str">
        <f t="shared" si="21"/>
        <v/>
      </c>
      <c r="CJ16" s="1" t="str">
        <f t="shared" si="21"/>
        <v/>
      </c>
      <c r="CK16" s="1" t="str">
        <f t="shared" si="21"/>
        <v/>
      </c>
      <c r="CL16" s="1" t="str">
        <f t="shared" si="21"/>
        <v/>
      </c>
      <c r="CM16" s="1" t="str">
        <f t="shared" si="21"/>
        <v/>
      </c>
      <c r="CN16" s="1" t="str">
        <f t="shared" si="21"/>
        <v/>
      </c>
      <c r="CO16" s="1" t="str">
        <f t="shared" si="21"/>
        <v/>
      </c>
      <c r="CP16" s="1" t="str">
        <f t="shared" si="21"/>
        <v/>
      </c>
      <c r="CQ16" s="1" t="str">
        <f t="shared" si="22"/>
        <v/>
      </c>
      <c r="CR16" s="1" t="str">
        <f t="shared" si="22"/>
        <v/>
      </c>
      <c r="CS16" s="1" t="str">
        <f t="shared" si="22"/>
        <v/>
      </c>
      <c r="CT16" s="1" t="str">
        <f t="shared" si="22"/>
        <v/>
      </c>
      <c r="CU16" s="1" t="str">
        <f t="shared" si="22"/>
        <v/>
      </c>
      <c r="CV16" s="1" t="str">
        <f t="shared" si="22"/>
        <v/>
      </c>
      <c r="CW16" s="1" t="str">
        <f t="shared" si="22"/>
        <v/>
      </c>
      <c r="CX16" s="1" t="str">
        <f t="shared" si="22"/>
        <v/>
      </c>
      <c r="CY16" s="1" t="str">
        <f t="shared" si="22"/>
        <v/>
      </c>
      <c r="CZ16" s="1" t="str">
        <f t="shared" si="22"/>
        <v/>
      </c>
      <c r="DA16" s="1" t="str">
        <f t="shared" si="23"/>
        <v/>
      </c>
      <c r="DB16" s="1" t="str">
        <f t="shared" si="23"/>
        <v/>
      </c>
      <c r="DC16" s="1" t="str">
        <f t="shared" si="23"/>
        <v/>
      </c>
      <c r="DD16" s="1" t="str">
        <f t="shared" si="23"/>
        <v/>
      </c>
      <c r="DE16" s="1" t="str">
        <f t="shared" si="23"/>
        <v/>
      </c>
      <c r="DF16" s="1" t="str">
        <f t="shared" si="23"/>
        <v/>
      </c>
      <c r="DG16" s="1" t="str">
        <f t="shared" si="23"/>
        <v/>
      </c>
      <c r="DH16" s="1" t="str">
        <f t="shared" si="23"/>
        <v/>
      </c>
      <c r="DI16" s="1" t="str">
        <f t="shared" si="23"/>
        <v/>
      </c>
      <c r="DJ16" s="1" t="str">
        <f t="shared" si="23"/>
        <v/>
      </c>
      <c r="DK16" s="1" t="str">
        <f t="shared" si="24"/>
        <v/>
      </c>
      <c r="DL16" s="1" t="str">
        <f t="shared" si="24"/>
        <v/>
      </c>
      <c r="DM16" s="1" t="str">
        <f t="shared" si="24"/>
        <v/>
      </c>
      <c r="DN16" s="1" t="str">
        <f t="shared" si="24"/>
        <v/>
      </c>
      <c r="DO16" s="1" t="str">
        <f t="shared" si="24"/>
        <v/>
      </c>
      <c r="DP16" s="1" t="str">
        <f t="shared" si="24"/>
        <v/>
      </c>
      <c r="DQ16" s="1" t="str">
        <f t="shared" si="24"/>
        <v/>
      </c>
      <c r="DR16" s="1" t="str">
        <f t="shared" si="24"/>
        <v/>
      </c>
      <c r="DS16" s="1" t="str">
        <f t="shared" si="24"/>
        <v/>
      </c>
      <c r="DT16" s="1" t="str">
        <f t="shared" si="24"/>
        <v/>
      </c>
      <c r="DU16" s="1" t="str">
        <f t="shared" si="25"/>
        <v/>
      </c>
      <c r="DV16" s="1" t="str">
        <f t="shared" si="25"/>
        <v/>
      </c>
      <c r="DW16" s="1" t="str">
        <f t="shared" si="25"/>
        <v/>
      </c>
      <c r="DX16" s="1" t="str">
        <f t="shared" si="25"/>
        <v/>
      </c>
      <c r="DY16" s="1" t="str">
        <f t="shared" si="25"/>
        <v/>
      </c>
      <c r="DZ16" s="1" t="str">
        <f t="shared" si="25"/>
        <v/>
      </c>
      <c r="EA16" s="1" t="str">
        <f t="shared" si="25"/>
        <v/>
      </c>
      <c r="EB16" s="1" t="str">
        <f t="shared" si="25"/>
        <v/>
      </c>
      <c r="EC16" s="1" t="str">
        <f t="shared" si="25"/>
        <v/>
      </c>
      <c r="ED16" s="1" t="str">
        <f t="shared" si="25"/>
        <v/>
      </c>
      <c r="EE16" s="1" t="str">
        <f t="shared" si="26"/>
        <v/>
      </c>
      <c r="EF16" s="1" t="str">
        <f t="shared" si="26"/>
        <v/>
      </c>
      <c r="EG16" s="1" t="str">
        <f t="shared" si="26"/>
        <v/>
      </c>
      <c r="EH16" s="1" t="str">
        <f t="shared" si="26"/>
        <v/>
      </c>
      <c r="EI16" s="1" t="str">
        <f t="shared" si="26"/>
        <v/>
      </c>
      <c r="EJ16" s="1" t="str">
        <f t="shared" si="26"/>
        <v/>
      </c>
      <c r="EK16" s="1" t="str">
        <f t="shared" si="26"/>
        <v/>
      </c>
      <c r="EL16" s="1" t="str">
        <f t="shared" si="26"/>
        <v/>
      </c>
      <c r="EM16" s="1" t="str">
        <f t="shared" si="26"/>
        <v/>
      </c>
      <c r="EN16" s="1" t="str">
        <f t="shared" si="26"/>
        <v/>
      </c>
      <c r="EO16" s="1" t="str">
        <f t="shared" si="27"/>
        <v/>
      </c>
      <c r="EP16" s="1" t="str">
        <f t="shared" si="27"/>
        <v/>
      </c>
      <c r="EQ16" s="1" t="str">
        <f t="shared" si="27"/>
        <v/>
      </c>
      <c r="ER16" s="1" t="str">
        <f t="shared" si="27"/>
        <v/>
      </c>
      <c r="ES16" s="1" t="str">
        <f t="shared" si="27"/>
        <v/>
      </c>
      <c r="ET16" s="1" t="str">
        <f t="shared" si="27"/>
        <v/>
      </c>
      <c r="EU16" s="1" t="str">
        <f t="shared" si="27"/>
        <v/>
      </c>
      <c r="EV16" s="1" t="str">
        <f t="shared" si="27"/>
        <v/>
      </c>
      <c r="EW16" s="1" t="str">
        <f t="shared" si="27"/>
        <v/>
      </c>
      <c r="EX16" s="1" t="str">
        <f t="shared" si="27"/>
        <v/>
      </c>
      <c r="EY16" s="1" t="str">
        <f t="shared" ref="EY16:FD16" si="29">IF(AND(EY$7&lt;=$E16,EY$7+6&gt;=$D16),IF((((IF(EY$7&gt;$D16,EY$7-$D16+1,1))+(IF(AND($I$1&gt;EY$7,$I$1&lt;=EY$7+6),IF(EY$7&gt;$I$1,$I$1-EY$7,0),0)))/($E16-$D16+1))&lt;=$H16,$E$5,IF(EY$7&lt;$I$1,$H$5,"")),"")</f>
        <v/>
      </c>
      <c r="EZ16" s="1" t="str">
        <f t="shared" si="29"/>
        <v/>
      </c>
      <c r="FA16" s="1" t="str">
        <f t="shared" si="29"/>
        <v/>
      </c>
      <c r="FB16" s="1" t="str">
        <f t="shared" si="29"/>
        <v/>
      </c>
      <c r="FC16" s="1" t="str">
        <f t="shared" si="29"/>
        <v/>
      </c>
      <c r="FD16" s="1" t="str">
        <f t="shared" si="29"/>
        <v/>
      </c>
      <c r="FE16" s="1" t="str">
        <f t="shared" si="28"/>
        <v/>
      </c>
      <c r="FF16" s="1" t="str">
        <f t="shared" si="28"/>
        <v/>
      </c>
      <c r="FG16" s="1" t="str">
        <f t="shared" si="28"/>
        <v/>
      </c>
      <c r="FH16" s="1" t="str">
        <f t="shared" si="28"/>
        <v/>
      </c>
      <c r="FI16" s="1" t="str">
        <f t="shared" si="28"/>
        <v/>
      </c>
      <c r="FJ16" s="1" t="str">
        <f t="shared" si="28"/>
        <v/>
      </c>
      <c r="FK16" s="1" t="str">
        <f t="shared" si="28"/>
        <v/>
      </c>
      <c r="FL16" s="1" t="str">
        <f t="shared" si="28"/>
        <v/>
      </c>
    </row>
    <row r="17" spans="1:168">
      <c r="A17" s="12"/>
      <c r="B17" s="14"/>
      <c r="C17" s="14"/>
      <c r="D17" s="14"/>
      <c r="E17" s="14"/>
      <c r="F17" s="14"/>
      <c r="G17" s="14"/>
      <c r="H17" s="28"/>
      <c r="I17" s="14"/>
      <c r="J17" s="14"/>
      <c r="K17" s="13"/>
      <c r="L17" s="64"/>
      <c r="M17" s="1" t="str">
        <f t="shared" si="16"/>
        <v/>
      </c>
      <c r="N17" s="1" t="str">
        <f t="shared" si="16"/>
        <v/>
      </c>
      <c r="O17" s="1" t="str">
        <f t="shared" si="17"/>
        <v/>
      </c>
      <c r="P17" s="1" t="str">
        <f t="shared" si="17"/>
        <v/>
      </c>
      <c r="Q17" s="1" t="str">
        <f t="shared" si="17"/>
        <v/>
      </c>
      <c r="R17" s="1" t="str">
        <f t="shared" si="17"/>
        <v/>
      </c>
      <c r="S17" s="1" t="str">
        <f t="shared" si="17"/>
        <v/>
      </c>
      <c r="T17" s="1" t="str">
        <f t="shared" si="17"/>
        <v/>
      </c>
      <c r="U17" s="1" t="str">
        <f t="shared" si="17"/>
        <v/>
      </c>
      <c r="V17" s="1" t="str">
        <f t="shared" si="17"/>
        <v/>
      </c>
      <c r="W17" s="1" t="str">
        <f t="shared" si="17"/>
        <v/>
      </c>
      <c r="X17" s="1" t="str">
        <f t="shared" si="17"/>
        <v/>
      </c>
      <c r="Y17" s="1" t="str">
        <f t="shared" si="17"/>
        <v/>
      </c>
      <c r="Z17" s="1" t="str">
        <f t="shared" si="17"/>
        <v/>
      </c>
      <c r="AA17" s="1" t="str">
        <f t="shared" si="17"/>
        <v/>
      </c>
      <c r="AB17" s="1" t="str">
        <f t="shared" si="17"/>
        <v/>
      </c>
      <c r="AC17" s="1" t="str">
        <f t="shared" si="17"/>
        <v/>
      </c>
      <c r="AD17" s="1" t="str">
        <f t="shared" si="17"/>
        <v/>
      </c>
      <c r="AE17" s="1" t="str">
        <f t="shared" si="18"/>
        <v/>
      </c>
      <c r="AF17" s="1" t="str">
        <f t="shared" si="18"/>
        <v/>
      </c>
      <c r="AG17" s="1" t="str">
        <f t="shared" si="18"/>
        <v/>
      </c>
      <c r="AH17" s="1" t="str">
        <f t="shared" si="18"/>
        <v/>
      </c>
      <c r="AI17" s="1" t="str">
        <f t="shared" si="18"/>
        <v/>
      </c>
      <c r="AJ17" s="1" t="str">
        <f t="shared" si="18"/>
        <v/>
      </c>
      <c r="AK17" s="1" t="str">
        <f t="shared" si="18"/>
        <v/>
      </c>
      <c r="AL17" s="1" t="str">
        <f t="shared" si="18"/>
        <v/>
      </c>
      <c r="AM17" s="1" t="str">
        <f t="shared" si="18"/>
        <v/>
      </c>
      <c r="AN17" s="1" t="str">
        <f t="shared" si="18"/>
        <v/>
      </c>
      <c r="AO17" s="1" t="str">
        <f t="shared" si="18"/>
        <v/>
      </c>
      <c r="AP17" s="1" t="str">
        <f t="shared" si="18"/>
        <v/>
      </c>
      <c r="AQ17" s="1" t="str">
        <f t="shared" si="18"/>
        <v/>
      </c>
      <c r="AR17" s="1" t="str">
        <f t="shared" si="18"/>
        <v/>
      </c>
      <c r="AS17" s="1" t="str">
        <f t="shared" si="18"/>
        <v/>
      </c>
      <c r="AT17" s="1" t="str">
        <f t="shared" si="18"/>
        <v/>
      </c>
      <c r="AU17" s="1" t="str">
        <f t="shared" si="19"/>
        <v/>
      </c>
      <c r="AV17" s="1" t="str">
        <f t="shared" si="19"/>
        <v/>
      </c>
      <c r="AW17" s="1" t="str">
        <f t="shared" si="19"/>
        <v/>
      </c>
      <c r="AX17" s="1" t="str">
        <f t="shared" si="19"/>
        <v/>
      </c>
      <c r="AY17" s="1" t="str">
        <f t="shared" si="19"/>
        <v/>
      </c>
      <c r="AZ17" s="1" t="str">
        <f t="shared" si="19"/>
        <v/>
      </c>
      <c r="BA17" s="1" t="str">
        <f t="shared" si="19"/>
        <v/>
      </c>
      <c r="BB17" s="1" t="str">
        <f t="shared" si="19"/>
        <v/>
      </c>
      <c r="BC17" s="1" t="str">
        <f t="shared" si="19"/>
        <v/>
      </c>
      <c r="BD17" s="1" t="str">
        <f t="shared" si="19"/>
        <v/>
      </c>
      <c r="BE17" s="1" t="str">
        <f t="shared" si="19"/>
        <v/>
      </c>
      <c r="BF17" s="1" t="str">
        <f t="shared" si="19"/>
        <v/>
      </c>
      <c r="BG17" s="1" t="str">
        <f t="shared" si="19"/>
        <v/>
      </c>
      <c r="BH17" s="1" t="str">
        <f t="shared" si="19"/>
        <v/>
      </c>
      <c r="BI17" s="1" t="str">
        <f t="shared" si="19"/>
        <v/>
      </c>
      <c r="BJ17" s="1" t="str">
        <f t="shared" si="19"/>
        <v/>
      </c>
      <c r="BK17" s="1" t="str">
        <f t="shared" si="20"/>
        <v/>
      </c>
      <c r="BL17" s="1" t="str">
        <f t="shared" si="20"/>
        <v/>
      </c>
      <c r="BM17" s="1" t="str">
        <f t="shared" si="20"/>
        <v/>
      </c>
      <c r="BN17" s="1" t="str">
        <f t="shared" si="20"/>
        <v/>
      </c>
      <c r="BO17" s="1" t="str">
        <f t="shared" si="20"/>
        <v/>
      </c>
      <c r="BP17" s="1" t="str">
        <f t="shared" si="20"/>
        <v/>
      </c>
      <c r="BQ17" s="1" t="str">
        <f t="shared" si="20"/>
        <v/>
      </c>
      <c r="BR17" s="1" t="str">
        <f t="shared" si="20"/>
        <v/>
      </c>
      <c r="BS17" s="1" t="str">
        <f t="shared" si="20"/>
        <v/>
      </c>
      <c r="BT17" s="1" t="str">
        <f t="shared" si="20"/>
        <v/>
      </c>
      <c r="BU17" s="1" t="str">
        <f t="shared" si="20"/>
        <v/>
      </c>
      <c r="BV17" s="1" t="str">
        <f t="shared" si="20"/>
        <v/>
      </c>
      <c r="BW17" s="1" t="str">
        <f t="shared" si="20"/>
        <v/>
      </c>
      <c r="BX17" s="1" t="str">
        <f t="shared" si="20"/>
        <v/>
      </c>
      <c r="BY17" s="1" t="str">
        <f t="shared" si="20"/>
        <v/>
      </c>
      <c r="BZ17" s="1" t="str">
        <f t="shared" si="20"/>
        <v/>
      </c>
      <c r="CA17" s="1" t="str">
        <f t="shared" si="21"/>
        <v/>
      </c>
      <c r="CB17" s="1" t="str">
        <f t="shared" si="21"/>
        <v/>
      </c>
      <c r="CC17" s="1" t="str">
        <f t="shared" si="21"/>
        <v/>
      </c>
      <c r="CD17" s="1" t="str">
        <f t="shared" si="21"/>
        <v/>
      </c>
      <c r="CE17" s="1" t="str">
        <f t="shared" si="21"/>
        <v/>
      </c>
      <c r="CF17" s="1" t="str">
        <f t="shared" si="21"/>
        <v/>
      </c>
      <c r="CG17" s="1" t="str">
        <f t="shared" si="21"/>
        <v/>
      </c>
      <c r="CH17" s="1" t="str">
        <f t="shared" si="21"/>
        <v/>
      </c>
      <c r="CI17" s="1" t="str">
        <f t="shared" si="21"/>
        <v/>
      </c>
      <c r="CJ17" s="1" t="str">
        <f t="shared" si="21"/>
        <v/>
      </c>
      <c r="CK17" s="1" t="str">
        <f t="shared" si="21"/>
        <v/>
      </c>
      <c r="CL17" s="1" t="str">
        <f t="shared" si="21"/>
        <v/>
      </c>
      <c r="CM17" s="1" t="str">
        <f t="shared" si="21"/>
        <v/>
      </c>
      <c r="CN17" s="1" t="str">
        <f t="shared" si="21"/>
        <v/>
      </c>
      <c r="CO17" s="1" t="str">
        <f t="shared" si="21"/>
        <v/>
      </c>
      <c r="CP17" s="1" t="str">
        <f t="shared" si="21"/>
        <v/>
      </c>
      <c r="CQ17" s="1" t="str">
        <f t="shared" si="22"/>
        <v/>
      </c>
      <c r="CR17" s="1" t="str">
        <f t="shared" si="22"/>
        <v/>
      </c>
      <c r="CS17" s="1" t="str">
        <f t="shared" si="22"/>
        <v/>
      </c>
      <c r="CT17" s="1" t="str">
        <f t="shared" si="22"/>
        <v/>
      </c>
      <c r="CU17" s="1" t="str">
        <f t="shared" si="22"/>
        <v/>
      </c>
      <c r="CV17" s="1" t="str">
        <f t="shared" si="22"/>
        <v/>
      </c>
      <c r="CW17" s="1" t="str">
        <f t="shared" si="22"/>
        <v/>
      </c>
      <c r="CX17" s="1" t="str">
        <f t="shared" si="22"/>
        <v/>
      </c>
      <c r="CY17" s="1" t="str">
        <f t="shared" si="22"/>
        <v/>
      </c>
      <c r="CZ17" s="1" t="str">
        <f t="shared" si="22"/>
        <v/>
      </c>
      <c r="DA17" s="1" t="str">
        <f t="shared" ref="DA17:FL17" si="30">IF(AND(DA$7&lt;=$E17,DA$7+6&gt;=$D17),IF((((IF(DA$7&gt;$D17,DA$7-$D17+1,1))+(IF(AND($I$1&gt;DA$7,$I$1&lt;=DA$7+6),IF(DA$7&gt;$I$1,$I$1-DA$7,0),0)))/($E17-$D17+1))&lt;=$H17,$E$5,IF(DA$7&lt;$I$1,$H$5,"")),"")</f>
        <v/>
      </c>
      <c r="DB17" s="1" t="str">
        <f t="shared" si="30"/>
        <v/>
      </c>
      <c r="DC17" s="1" t="str">
        <f t="shared" si="30"/>
        <v/>
      </c>
      <c r="DD17" s="1" t="str">
        <f t="shared" si="30"/>
        <v/>
      </c>
      <c r="DE17" s="1" t="str">
        <f t="shared" si="30"/>
        <v/>
      </c>
      <c r="DF17" s="1" t="str">
        <f t="shared" si="30"/>
        <v/>
      </c>
      <c r="DG17" s="1" t="str">
        <f t="shared" si="30"/>
        <v/>
      </c>
      <c r="DH17" s="1" t="str">
        <f t="shared" si="30"/>
        <v/>
      </c>
      <c r="DI17" s="1" t="str">
        <f t="shared" si="30"/>
        <v/>
      </c>
      <c r="DJ17" s="1" t="str">
        <f t="shared" si="30"/>
        <v/>
      </c>
      <c r="DK17" s="1" t="str">
        <f t="shared" si="30"/>
        <v/>
      </c>
      <c r="DL17" s="1" t="str">
        <f t="shared" si="30"/>
        <v/>
      </c>
      <c r="DM17" s="1" t="str">
        <f t="shared" si="30"/>
        <v/>
      </c>
      <c r="DN17" s="1" t="str">
        <f t="shared" si="30"/>
        <v/>
      </c>
      <c r="DO17" s="1" t="str">
        <f t="shared" si="30"/>
        <v/>
      </c>
      <c r="DP17" s="1" t="str">
        <f t="shared" si="30"/>
        <v/>
      </c>
      <c r="DQ17" s="1" t="str">
        <f t="shared" si="30"/>
        <v/>
      </c>
      <c r="DR17" s="1" t="str">
        <f t="shared" si="30"/>
        <v/>
      </c>
      <c r="DS17" s="1" t="str">
        <f t="shared" si="30"/>
        <v/>
      </c>
      <c r="DT17" s="1" t="str">
        <f t="shared" si="30"/>
        <v/>
      </c>
      <c r="DU17" s="1" t="str">
        <f t="shared" si="30"/>
        <v/>
      </c>
      <c r="DV17" s="1" t="str">
        <f t="shared" si="30"/>
        <v/>
      </c>
      <c r="DW17" s="1" t="str">
        <f t="shared" si="30"/>
        <v/>
      </c>
      <c r="DX17" s="1" t="str">
        <f t="shared" si="30"/>
        <v/>
      </c>
      <c r="DY17" s="1" t="str">
        <f t="shared" si="30"/>
        <v/>
      </c>
      <c r="DZ17" s="1" t="str">
        <f t="shared" si="30"/>
        <v/>
      </c>
      <c r="EA17" s="1" t="str">
        <f t="shared" si="30"/>
        <v/>
      </c>
      <c r="EB17" s="1" t="str">
        <f t="shared" si="30"/>
        <v/>
      </c>
      <c r="EC17" s="1" t="str">
        <f t="shared" si="30"/>
        <v/>
      </c>
      <c r="ED17" s="1" t="str">
        <f t="shared" si="30"/>
        <v/>
      </c>
      <c r="EE17" s="1" t="str">
        <f t="shared" si="30"/>
        <v/>
      </c>
      <c r="EF17" s="1" t="str">
        <f t="shared" si="30"/>
        <v/>
      </c>
      <c r="EG17" s="1" t="str">
        <f t="shared" si="30"/>
        <v/>
      </c>
      <c r="EH17" s="1" t="str">
        <f t="shared" si="30"/>
        <v/>
      </c>
      <c r="EI17" s="1" t="str">
        <f t="shared" si="30"/>
        <v/>
      </c>
      <c r="EJ17" s="1" t="str">
        <f t="shared" si="30"/>
        <v/>
      </c>
      <c r="EK17" s="1" t="str">
        <f t="shared" si="30"/>
        <v/>
      </c>
      <c r="EL17" s="1" t="str">
        <f t="shared" si="30"/>
        <v/>
      </c>
      <c r="EM17" s="1" t="str">
        <f t="shared" si="30"/>
        <v/>
      </c>
      <c r="EN17" s="1" t="str">
        <f t="shared" si="30"/>
        <v/>
      </c>
      <c r="EO17" s="1" t="str">
        <f t="shared" si="30"/>
        <v/>
      </c>
      <c r="EP17" s="1" t="str">
        <f t="shared" si="30"/>
        <v/>
      </c>
      <c r="EQ17" s="1" t="str">
        <f t="shared" si="30"/>
        <v/>
      </c>
      <c r="ER17" s="1" t="str">
        <f t="shared" si="30"/>
        <v/>
      </c>
      <c r="ES17" s="1" t="str">
        <f t="shared" si="30"/>
        <v/>
      </c>
      <c r="ET17" s="1" t="str">
        <f t="shared" si="30"/>
        <v/>
      </c>
      <c r="EU17" s="1" t="str">
        <f t="shared" si="30"/>
        <v/>
      </c>
      <c r="EV17" s="1" t="str">
        <f t="shared" si="30"/>
        <v/>
      </c>
      <c r="EW17" s="1" t="str">
        <f t="shared" si="30"/>
        <v/>
      </c>
      <c r="EX17" s="1" t="str">
        <f t="shared" si="30"/>
        <v/>
      </c>
      <c r="EY17" s="1" t="str">
        <f t="shared" si="30"/>
        <v/>
      </c>
      <c r="EZ17" s="1" t="str">
        <f t="shared" si="30"/>
        <v/>
      </c>
      <c r="FA17" s="1" t="str">
        <f t="shared" si="30"/>
        <v/>
      </c>
      <c r="FB17" s="1" t="str">
        <f t="shared" si="30"/>
        <v/>
      </c>
      <c r="FC17" s="1" t="str">
        <f t="shared" si="30"/>
        <v/>
      </c>
      <c r="FD17" s="1" t="str">
        <f t="shared" si="30"/>
        <v/>
      </c>
      <c r="FE17" s="1" t="str">
        <f t="shared" si="30"/>
        <v/>
      </c>
      <c r="FF17" s="1" t="str">
        <f t="shared" si="30"/>
        <v/>
      </c>
      <c r="FG17" s="1" t="str">
        <f t="shared" si="30"/>
        <v/>
      </c>
      <c r="FH17" s="1" t="str">
        <f t="shared" si="30"/>
        <v/>
      </c>
      <c r="FI17" s="1" t="str">
        <f t="shared" si="30"/>
        <v/>
      </c>
      <c r="FJ17" s="1" t="str">
        <f t="shared" si="30"/>
        <v/>
      </c>
      <c r="FK17" s="1" t="str">
        <f t="shared" si="30"/>
        <v/>
      </c>
      <c r="FL17" s="1" t="str">
        <f t="shared" si="30"/>
        <v/>
      </c>
    </row>
  </sheetData>
  <sheetProtection formatCells="0" formatColumns="0" formatRows="0" insertRows="0" deleteRows="0" autoFilter="0"/>
  <autoFilter ref="I7:L7"/>
  <customSheetViews>
    <customSheetView guid="{6D9A68C5-8FD5-4F3E-8B6F-ABAD4F746D70}" scale="75" fitToPage="1" showAutoFilter="1" hiddenRows="1" hiddenColumns="1" showRuler="0">
      <pane xSplit="10" ySplit="7" topLeftCell="K8" activePane="bottomRight" state="frozenSplit"/>
      <selection pane="bottomRight" activeCell="V11" sqref="V11"/>
      <pageSetup paperSize="9" scale="37" fitToHeight="10" orientation="landscape" horizontalDpi="200" verticalDpi="200"/>
      <autoFilter ref="B1:E1"/>
    </customSheetView>
  </customSheetViews>
  <mergeCells count="1">
    <mergeCell ref="I1:J1"/>
  </mergeCells>
  <phoneticPr fontId="2" type="noConversion"/>
  <conditionalFormatting sqref="M4:CZ4 M6:CZ7">
    <cfRule type="expression" dxfId="12" priority="1" stopIfTrue="1">
      <formula>M$7=$I$1</formula>
    </cfRule>
  </conditionalFormatting>
  <conditionalFormatting sqref="DA4:FL4 DA6:FL7">
    <cfRule type="expression" dxfId="11" priority="2" stopIfTrue="1">
      <formula>AND((DA$7+6)&gt;=$I$1,DA$7&lt;=$I$1)</formula>
    </cfRule>
  </conditionalFormatting>
  <conditionalFormatting sqref="A8:L8">
    <cfRule type="expression" dxfId="10" priority="3" stopIfTrue="1">
      <formula>OR($I8="已完成",$I8="延期")</formula>
    </cfRule>
    <cfRule type="expression" dxfId="9" priority="4" stopIfTrue="1">
      <formula>OR($I8="進行中",$I8="等待某人")</formula>
    </cfRule>
  </conditionalFormatting>
  <conditionalFormatting sqref="A9:L17">
    <cfRule type="expression" dxfId="8" priority="5" stopIfTrue="1">
      <formula>OR($I9="已完成",$I9="延期")</formula>
    </cfRule>
    <cfRule type="expression" dxfId="7" priority="6" stopIfTrue="1">
      <formula>AND($I9&lt;&gt;"已完成",$E9&lt;=$I$1,$B9&lt;&gt;"",$E9&lt;&gt;"")</formula>
    </cfRule>
    <cfRule type="expression" dxfId="6" priority="7" stopIfTrue="1">
      <formula>OR($I9="進行中",$I9="等待某人")</formula>
    </cfRule>
  </conditionalFormatting>
  <conditionalFormatting sqref="M8:CZ17">
    <cfRule type="expression" dxfId="5" priority="8" stopIfTrue="1">
      <formula>AND(AND(M$7&gt;=$D8,M$7&lt;=$E8),OR($I8="已完成",$I8="已取消"))=TRUE</formula>
    </cfRule>
    <cfRule type="expression" dxfId="4" priority="9" stopIfTrue="1">
      <formula>AND(M$7&gt;=$D8,M$7&lt;=$E8)=TRUE</formula>
    </cfRule>
    <cfRule type="expression" dxfId="3" priority="10" stopIfTrue="1">
      <formula>M$6&gt;=6</formula>
    </cfRule>
  </conditionalFormatting>
  <conditionalFormatting sqref="DA8:FL17">
    <cfRule type="expression" dxfId="2" priority="11" stopIfTrue="1">
      <formula>AND(AND(DA$7&gt;=$D8-6,DA$7&lt;=$E8),OR($I8="已完成",$I8="已取消"))=TRUE</formula>
    </cfRule>
    <cfRule type="expression" dxfId="1" priority="12" stopIfTrue="1">
      <formula>AND(DA$7&gt;=$D8-6,DA$7&lt;=$E8)=TRUE</formula>
    </cfRule>
    <cfRule type="expression" dxfId="0" priority="13" stopIfTrue="1">
      <formula>AND((DA$7+6)&gt;=$I$1,DA$7&lt;=$I$1)</formula>
    </cfRule>
  </conditionalFormatting>
  <dataValidations count="6">
    <dataValidation type="list" allowBlank="1" showInputMessage="1" showErrorMessage="1" sqref="E2">
      <formula1>"1,2,3,4,5,6,7,8,9,10,11,12"</formula1>
    </dataValidation>
    <dataValidation type="list" allowBlank="1" showInputMessage="1" showErrorMessage="1" sqref="I8:I17">
      <formula1>"未開始,進行中,已完成,等待某人,延期"</formula1>
    </dataValidation>
    <dataValidation type="whole" imeMode="off" allowBlank="1" showInputMessage="1" showErrorMessage="1" errorTitle="西元年" error="輸入 2004~2100 年" promptTitle="西元年" prompt="可輸入 2004~2100 年" sqref="C2">
      <formula1>2004</formula1>
      <formula2>2100</formula2>
    </dataValidation>
    <dataValidation type="list" allowBlank="1" showInputMessage="1" showErrorMessage="1" sqref="L8:L17">
      <formula1>"1,0"</formula1>
    </dataValidation>
    <dataValidation type="decimal" allowBlank="1" showInputMessage="1" showErrorMessage="1" sqref="D5">
      <formula1>1</formula1>
      <formula2>31</formula2>
    </dataValidation>
    <dataValidation type="list" allowBlank="1" showInputMessage="1" showErrorMessage="1" sqref="A5">
      <formula1>"D,W"</formula1>
    </dataValidation>
  </dataValidations>
  <pageMargins left="0.39370078740157483" right="0.39370078740157483" top="0.59055118110236227" bottom="0.59055118110236227" header="0.51181102362204722" footer="0.51181102362204722"/>
  <pageSetup paperSize="9" scale="53" fitToHeight="10" orientation="landscape" horizontalDpi="200" verticalDpi="200"/>
  <cellWatches>
    <cellWatch r="C3"/>
  </cellWatches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indexed="24"/>
  </sheetPr>
  <dimension ref="A1:L8"/>
  <sheetViews>
    <sheetView showGridLines="0" zoomScale="75" workbookViewId="0">
      <selection activeCell="J15" sqref="J15"/>
    </sheetView>
  </sheetViews>
  <sheetFormatPr baseColWidth="10" defaultColWidth="8.83203125" defaultRowHeight="15" x14ac:dyDescent="0"/>
  <cols>
    <col min="1" max="1" width="5.6640625" customWidth="1"/>
    <col min="2" max="2" width="17.6640625" customWidth="1"/>
    <col min="3" max="3" width="9.6640625" customWidth="1"/>
    <col min="4" max="5" width="11.1640625" customWidth="1"/>
    <col min="6" max="6" width="6.6640625" customWidth="1"/>
    <col min="7" max="7" width="11" bestFit="1" customWidth="1"/>
    <col min="8" max="8" width="9.83203125" customWidth="1"/>
    <col min="9" max="9" width="10.6640625" bestFit="1" customWidth="1"/>
  </cols>
  <sheetData>
    <row r="1" spans="1:12">
      <c r="A1" s="8"/>
      <c r="B1" s="8" t="s">
        <v>24</v>
      </c>
      <c r="C1" s="8" t="str">
        <f>Config!B4</f>
        <v>DateChart2_1.4</v>
      </c>
      <c r="D1" s="8"/>
      <c r="E1" s="8"/>
      <c r="F1" s="8" t="s">
        <v>25</v>
      </c>
      <c r="G1" s="17">
        <f ca="1">TODAY()</f>
        <v>41758</v>
      </c>
      <c r="H1" s="8"/>
      <c r="I1" s="8"/>
    </row>
    <row r="2" spans="1:12">
      <c r="B2" s="6"/>
      <c r="C2" s="15"/>
      <c r="L2" t="s">
        <v>32</v>
      </c>
    </row>
    <row r="3" spans="1:12">
      <c r="B3" s="6" t="s">
        <v>30</v>
      </c>
      <c r="C3" s="31">
        <v>30</v>
      </c>
      <c r="D3" t="s">
        <v>31</v>
      </c>
      <c r="F3" t="s">
        <v>157</v>
      </c>
    </row>
    <row r="4" spans="1:12">
      <c r="B4" s="6"/>
      <c r="C4" s="15"/>
      <c r="L4" t="s">
        <v>33</v>
      </c>
    </row>
    <row r="5" spans="1:12">
      <c r="A5" s="4"/>
      <c r="B5" s="4"/>
      <c r="C5" s="4"/>
      <c r="D5" s="4" t="s">
        <v>67</v>
      </c>
      <c r="E5" s="4" t="s">
        <v>67</v>
      </c>
      <c r="F5" s="4"/>
      <c r="G5" s="4"/>
      <c r="H5" s="81"/>
      <c r="I5" s="82"/>
    </row>
    <row r="6" spans="1:12">
      <c r="A6" s="5" t="s">
        <v>1</v>
      </c>
      <c r="B6" s="5" t="s">
        <v>0</v>
      </c>
      <c r="C6" s="5" t="s">
        <v>3</v>
      </c>
      <c r="D6" s="5" t="s">
        <v>77</v>
      </c>
      <c r="E6" s="5" t="s">
        <v>78</v>
      </c>
      <c r="F6" s="5" t="s">
        <v>8</v>
      </c>
      <c r="G6" s="5" t="s">
        <v>2</v>
      </c>
      <c r="H6" s="10" t="s">
        <v>11</v>
      </c>
      <c r="I6" s="11" t="s">
        <v>29</v>
      </c>
      <c r="L6" t="s">
        <v>34</v>
      </c>
    </row>
    <row r="7" spans="1:12">
      <c r="D7" s="67"/>
      <c r="E7" s="67"/>
      <c r="F7" s="68"/>
    </row>
    <row r="8" spans="1:12">
      <c r="D8" s="67"/>
      <c r="E8" s="67"/>
      <c r="F8" s="68"/>
    </row>
  </sheetData>
  <customSheetViews>
    <customSheetView guid="{6D9A68C5-8FD5-4F3E-8B6F-ABAD4F746D70}" scale="75" showRuler="0">
      <selection activeCell="G9" sqref="G9"/>
      <pageSetup paperSize="9" orientation="portrait"/>
    </customSheetView>
  </customSheetViews>
  <mergeCells count="1">
    <mergeCell ref="H5:I5"/>
  </mergeCells>
  <phoneticPr fontId="2" type="noConversion"/>
  <dataValidations count="3">
    <dataValidation type="list" allowBlank="1" showInputMessage="1" showErrorMessage="1" sqref="C4">
      <formula1>"1,2,3,4,5,6,7,8,9,10,11,12"</formula1>
    </dataValidation>
    <dataValidation type="whole" allowBlank="1" showErrorMessage="1" errorTitle="警示天數" error="1~7天" sqref="C3">
      <formula1>1</formula1>
      <formula2>31</formula2>
    </dataValidation>
    <dataValidation type="list" allowBlank="1" showInputMessage="1" showErrorMessage="1" sqref="I6 I7:I8">
      <formula1>"通知,不通知"</formula1>
    </dataValidation>
  </dataValidations>
  <pageMargins left="0.75" right="0.75" top="1" bottom="1" header="0.5" footer="0.5"/>
  <pageSetup paperSize="9" orientation="portrait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24"/>
  </sheetPr>
  <dimension ref="A1:F53"/>
  <sheetViews>
    <sheetView zoomScale="75" workbookViewId="0">
      <selection activeCell="D25" sqref="D25"/>
    </sheetView>
  </sheetViews>
  <sheetFormatPr baseColWidth="10" defaultColWidth="8.83203125" defaultRowHeight="15" x14ac:dyDescent="0"/>
  <cols>
    <col min="2" max="2" width="11.6640625" customWidth="1"/>
    <col min="3" max="3" width="13.83203125" customWidth="1"/>
    <col min="4" max="5" width="23.6640625" customWidth="1"/>
    <col min="6" max="6" width="20.83203125" customWidth="1"/>
  </cols>
  <sheetData>
    <row r="1" spans="1:6">
      <c r="A1" s="18"/>
      <c r="B1" s="19" t="s">
        <v>24</v>
      </c>
      <c r="C1" s="19" t="str">
        <f>Config!B4</f>
        <v>DateChart2_1.4</v>
      </c>
      <c r="D1" s="19" t="s">
        <v>25</v>
      </c>
      <c r="E1" s="26">
        <f ca="1">TODAY()</f>
        <v>41758</v>
      </c>
      <c r="F1" s="20"/>
    </row>
    <row r="2" spans="1:6">
      <c r="A2" s="83" t="s">
        <v>143</v>
      </c>
      <c r="B2" s="84"/>
      <c r="C2" s="84"/>
      <c r="D2" s="84"/>
      <c r="E2" s="84"/>
      <c r="F2" s="85"/>
    </row>
    <row r="3" spans="1:6">
      <c r="A3" s="10" t="s">
        <v>13</v>
      </c>
      <c r="B3" s="10" t="s">
        <v>14</v>
      </c>
      <c r="C3" s="10" t="s">
        <v>15</v>
      </c>
      <c r="D3" s="10" t="s">
        <v>16</v>
      </c>
      <c r="E3" s="10" t="s">
        <v>22</v>
      </c>
      <c r="F3" s="10" t="s">
        <v>17</v>
      </c>
    </row>
    <row r="4" spans="1:6">
      <c r="A4" s="27">
        <v>1</v>
      </c>
      <c r="B4" s="65" t="s">
        <v>65</v>
      </c>
      <c r="C4" s="65" t="s">
        <v>52</v>
      </c>
      <c r="D4" s="66" t="s">
        <v>66</v>
      </c>
      <c r="E4" s="65"/>
      <c r="F4" s="65"/>
    </row>
    <row r="5" spans="1:6">
      <c r="A5" s="27">
        <v>2</v>
      </c>
      <c r="B5" s="65" t="s">
        <v>65</v>
      </c>
      <c r="C5" s="65" t="s">
        <v>35</v>
      </c>
      <c r="D5" s="65" t="s">
        <v>36</v>
      </c>
      <c r="E5" s="65"/>
      <c r="F5" s="65"/>
    </row>
    <row r="6" spans="1:6">
      <c r="A6" s="27">
        <v>3</v>
      </c>
      <c r="B6" s="65" t="s">
        <v>101</v>
      </c>
      <c r="C6" s="65" t="s">
        <v>35</v>
      </c>
      <c r="D6" t="s">
        <v>102</v>
      </c>
      <c r="E6" s="65"/>
      <c r="F6" s="65"/>
    </row>
    <row r="7" spans="1:6">
      <c r="A7" s="27">
        <v>4</v>
      </c>
      <c r="B7" s="65"/>
      <c r="C7" s="65"/>
      <c r="D7" s="65"/>
      <c r="E7" s="65"/>
      <c r="F7" s="65"/>
    </row>
    <row r="8" spans="1:6">
      <c r="A8" s="27">
        <v>5</v>
      </c>
      <c r="B8" s="65"/>
      <c r="C8" s="65"/>
      <c r="D8" s="66"/>
      <c r="E8" s="65"/>
      <c r="F8" s="65"/>
    </row>
    <row r="9" spans="1:6">
      <c r="A9" s="27">
        <v>6</v>
      </c>
      <c r="B9" s="65"/>
      <c r="C9" s="65"/>
      <c r="D9" s="65"/>
      <c r="E9" s="65"/>
      <c r="F9" s="65"/>
    </row>
    <row r="10" spans="1:6">
      <c r="A10" s="27">
        <v>7</v>
      </c>
      <c r="B10" s="65"/>
      <c r="C10" s="65"/>
      <c r="D10" s="65"/>
      <c r="E10" s="65"/>
      <c r="F10" s="65"/>
    </row>
    <row r="11" spans="1:6">
      <c r="A11" s="27">
        <v>8</v>
      </c>
      <c r="B11" s="65"/>
      <c r="C11" s="65"/>
      <c r="D11" s="65"/>
      <c r="E11" s="65"/>
      <c r="F11" s="65"/>
    </row>
    <row r="12" spans="1:6">
      <c r="A12" s="27">
        <v>9</v>
      </c>
      <c r="B12" s="65"/>
      <c r="C12" s="65"/>
      <c r="D12" s="65"/>
      <c r="E12" s="65"/>
      <c r="F12" s="65"/>
    </row>
    <row r="13" spans="1:6">
      <c r="A13" s="27">
        <v>10</v>
      </c>
      <c r="B13" s="65"/>
      <c r="C13" s="65"/>
      <c r="D13" s="65"/>
      <c r="E13" s="65"/>
      <c r="F13" s="65"/>
    </row>
    <row r="14" spans="1:6">
      <c r="A14" s="27">
        <v>11</v>
      </c>
      <c r="B14" s="65"/>
      <c r="C14" s="65"/>
      <c r="D14" s="65"/>
      <c r="E14" s="65"/>
      <c r="F14" s="65"/>
    </row>
    <row r="15" spans="1:6">
      <c r="A15" s="27">
        <v>12</v>
      </c>
      <c r="B15" s="65"/>
      <c r="C15" s="65"/>
      <c r="D15" s="65"/>
      <c r="E15" s="65"/>
      <c r="F15" s="65"/>
    </row>
    <row r="16" spans="1:6">
      <c r="A16" s="27">
        <v>13</v>
      </c>
      <c r="B16" s="65"/>
      <c r="C16" s="65"/>
      <c r="D16" s="65"/>
      <c r="E16" s="65"/>
      <c r="F16" s="65"/>
    </row>
    <row r="17" spans="1:6">
      <c r="A17" s="27">
        <v>14</v>
      </c>
      <c r="B17" s="65"/>
      <c r="C17" s="65"/>
      <c r="D17" s="65"/>
      <c r="E17" s="65"/>
      <c r="F17" s="65"/>
    </row>
    <row r="18" spans="1:6">
      <c r="A18" s="27">
        <v>15</v>
      </c>
      <c r="B18" s="65"/>
      <c r="C18" s="65"/>
      <c r="D18" s="65"/>
      <c r="E18" s="65"/>
      <c r="F18" s="65"/>
    </row>
    <row r="19" spans="1:6">
      <c r="A19" s="27">
        <v>16</v>
      </c>
      <c r="B19" s="65"/>
      <c r="C19" s="65"/>
      <c r="D19" s="65"/>
      <c r="E19" s="65"/>
      <c r="F19" s="65"/>
    </row>
    <row r="20" spans="1:6">
      <c r="A20" s="27">
        <v>17</v>
      </c>
      <c r="B20" s="65"/>
      <c r="C20" s="65"/>
      <c r="D20" s="65"/>
      <c r="E20" s="65"/>
      <c r="F20" s="65"/>
    </row>
    <row r="21" spans="1:6">
      <c r="A21" s="27">
        <v>18</v>
      </c>
      <c r="B21" s="65"/>
      <c r="C21" s="65"/>
      <c r="D21" s="65"/>
      <c r="E21" s="65"/>
      <c r="F21" s="65"/>
    </row>
    <row r="22" spans="1:6">
      <c r="A22" s="27">
        <v>19</v>
      </c>
      <c r="B22" s="65"/>
      <c r="C22" s="65"/>
      <c r="D22" s="65"/>
      <c r="E22" s="65"/>
      <c r="F22" s="65"/>
    </row>
    <row r="23" spans="1:6">
      <c r="A23" s="27">
        <v>20</v>
      </c>
      <c r="B23" s="65"/>
      <c r="C23" s="65"/>
      <c r="D23" s="65"/>
      <c r="E23" s="65"/>
      <c r="F23" s="65"/>
    </row>
    <row r="24" spans="1:6">
      <c r="A24" s="27">
        <v>21</v>
      </c>
      <c r="B24" s="65"/>
      <c r="C24" s="65"/>
      <c r="D24" s="65"/>
      <c r="E24" s="65"/>
      <c r="F24" s="65"/>
    </row>
    <row r="25" spans="1:6">
      <c r="A25" s="27">
        <v>22</v>
      </c>
      <c r="B25" s="65"/>
      <c r="C25" s="65"/>
      <c r="D25" s="65"/>
      <c r="E25" s="65"/>
      <c r="F25" s="65"/>
    </row>
    <row r="26" spans="1:6">
      <c r="A26" s="27">
        <v>23</v>
      </c>
      <c r="B26" s="65"/>
      <c r="C26" s="65"/>
      <c r="D26" s="65"/>
      <c r="E26" s="65"/>
      <c r="F26" s="65"/>
    </row>
    <row r="27" spans="1:6">
      <c r="A27" s="27">
        <v>24</v>
      </c>
      <c r="B27" s="65"/>
      <c r="C27" s="65"/>
      <c r="D27" s="65"/>
      <c r="E27" s="65"/>
      <c r="F27" s="65"/>
    </row>
    <row r="28" spans="1:6">
      <c r="A28" s="27">
        <v>25</v>
      </c>
      <c r="B28" s="65"/>
      <c r="C28" s="65"/>
      <c r="D28" s="65"/>
      <c r="E28" s="65"/>
      <c r="F28" s="65"/>
    </row>
    <row r="29" spans="1:6">
      <c r="A29" s="27">
        <v>26</v>
      </c>
      <c r="B29" s="65"/>
      <c r="C29" s="65"/>
      <c r="D29" s="65"/>
      <c r="E29" s="65"/>
      <c r="F29" s="65"/>
    </row>
    <row r="30" spans="1:6">
      <c r="A30" s="27">
        <v>27</v>
      </c>
      <c r="B30" s="65"/>
      <c r="C30" s="65"/>
      <c r="D30" s="65"/>
      <c r="E30" s="65"/>
      <c r="F30" s="65"/>
    </row>
    <row r="31" spans="1:6">
      <c r="A31" s="27">
        <v>28</v>
      </c>
      <c r="B31" s="65"/>
      <c r="C31" s="65"/>
      <c r="D31" s="65"/>
      <c r="E31" s="65"/>
      <c r="F31" s="65"/>
    </row>
    <row r="32" spans="1:6">
      <c r="A32" s="27">
        <v>29</v>
      </c>
      <c r="B32" s="65"/>
      <c r="C32" s="65"/>
      <c r="D32" s="65"/>
      <c r="E32" s="65"/>
      <c r="F32" s="65"/>
    </row>
    <row r="33" spans="1:6">
      <c r="A33" s="27">
        <v>30</v>
      </c>
      <c r="B33" s="65"/>
      <c r="C33" s="65"/>
      <c r="D33" s="65"/>
      <c r="E33" s="65"/>
      <c r="F33" s="65"/>
    </row>
    <row r="34" spans="1:6">
      <c r="A34" s="27">
        <v>31</v>
      </c>
      <c r="B34" s="65"/>
      <c r="C34" s="65"/>
      <c r="D34" s="65"/>
      <c r="E34" s="65"/>
      <c r="F34" s="65"/>
    </row>
    <row r="35" spans="1:6">
      <c r="A35" s="27">
        <v>32</v>
      </c>
      <c r="B35" s="65"/>
      <c r="C35" s="65"/>
      <c r="D35" s="65"/>
      <c r="E35" s="65"/>
      <c r="F35" s="65"/>
    </row>
    <row r="36" spans="1:6">
      <c r="A36" s="27">
        <v>33</v>
      </c>
      <c r="B36" s="65"/>
      <c r="C36" s="65"/>
      <c r="D36" s="65"/>
      <c r="E36" s="65"/>
      <c r="F36" s="65"/>
    </row>
    <row r="37" spans="1:6">
      <c r="A37" s="27">
        <v>34</v>
      </c>
      <c r="B37" s="65"/>
      <c r="C37" s="65"/>
      <c r="D37" s="65"/>
      <c r="E37" s="65"/>
      <c r="F37" s="65"/>
    </row>
    <row r="38" spans="1:6">
      <c r="A38" s="27">
        <v>35</v>
      </c>
      <c r="B38" s="65"/>
      <c r="C38" s="65"/>
      <c r="D38" s="65"/>
      <c r="E38" s="65"/>
      <c r="F38" s="65"/>
    </row>
    <row r="39" spans="1:6">
      <c r="A39" s="27">
        <v>36</v>
      </c>
      <c r="B39" s="65"/>
      <c r="C39" s="65"/>
      <c r="D39" s="65"/>
      <c r="E39" s="65"/>
      <c r="F39" s="65"/>
    </row>
    <row r="40" spans="1:6">
      <c r="A40" s="27">
        <v>37</v>
      </c>
      <c r="B40" s="65"/>
      <c r="C40" s="65"/>
      <c r="D40" s="65"/>
      <c r="E40" s="65"/>
      <c r="F40" s="65"/>
    </row>
    <row r="41" spans="1:6">
      <c r="A41" s="27">
        <v>38</v>
      </c>
      <c r="B41" s="65"/>
      <c r="C41" s="65"/>
      <c r="D41" s="65"/>
      <c r="E41" s="65"/>
      <c r="F41" s="65"/>
    </row>
    <row r="42" spans="1:6">
      <c r="A42" s="27">
        <v>39</v>
      </c>
      <c r="B42" s="65"/>
      <c r="C42" s="65"/>
      <c r="D42" s="65"/>
      <c r="E42" s="65"/>
      <c r="F42" s="65"/>
    </row>
    <row r="43" spans="1:6">
      <c r="A43" s="27">
        <v>40</v>
      </c>
      <c r="B43" s="65"/>
      <c r="C43" s="65"/>
      <c r="D43" s="65"/>
      <c r="E43" s="65"/>
      <c r="F43" s="65"/>
    </row>
    <row r="44" spans="1:6">
      <c r="A44" s="27">
        <v>41</v>
      </c>
      <c r="B44" s="65"/>
      <c r="C44" s="65"/>
      <c r="D44" s="65"/>
      <c r="E44" s="65"/>
      <c r="F44" s="65"/>
    </row>
    <row r="45" spans="1:6">
      <c r="A45" s="27">
        <v>42</v>
      </c>
      <c r="B45" s="65"/>
      <c r="C45" s="65"/>
      <c r="D45" s="65"/>
      <c r="E45" s="65"/>
      <c r="F45" s="65"/>
    </row>
    <row r="46" spans="1:6">
      <c r="A46" s="27">
        <v>43</v>
      </c>
      <c r="B46" s="65"/>
      <c r="C46" s="65"/>
      <c r="D46" s="65"/>
      <c r="E46" s="65"/>
      <c r="F46" s="65"/>
    </row>
    <row r="47" spans="1:6">
      <c r="A47" s="27">
        <v>44</v>
      </c>
      <c r="B47" s="65"/>
      <c r="C47" s="65"/>
      <c r="D47" s="65"/>
      <c r="E47" s="65"/>
      <c r="F47" s="65"/>
    </row>
    <row r="48" spans="1:6">
      <c r="A48" s="27">
        <v>45</v>
      </c>
      <c r="B48" s="65"/>
      <c r="C48" s="65"/>
      <c r="D48" s="65"/>
      <c r="E48" s="65"/>
      <c r="F48" s="65"/>
    </row>
    <row r="49" spans="1:6">
      <c r="A49" s="27">
        <v>46</v>
      </c>
      <c r="B49" s="65"/>
      <c r="C49" s="65"/>
      <c r="D49" s="65"/>
      <c r="E49" s="65"/>
      <c r="F49" s="65"/>
    </row>
    <row r="50" spans="1:6">
      <c r="A50" s="27">
        <v>47</v>
      </c>
      <c r="B50" s="65"/>
      <c r="C50" s="65"/>
      <c r="D50" s="65"/>
      <c r="E50" s="65"/>
      <c r="F50" s="65"/>
    </row>
    <row r="51" spans="1:6">
      <c r="A51" s="27">
        <v>48</v>
      </c>
      <c r="B51" s="65"/>
      <c r="C51" s="65"/>
      <c r="D51" s="65"/>
      <c r="E51" s="65"/>
      <c r="F51" s="65"/>
    </row>
    <row r="52" spans="1:6">
      <c r="A52" s="27">
        <v>49</v>
      </c>
      <c r="B52" s="65"/>
      <c r="C52" s="65"/>
      <c r="D52" s="65"/>
      <c r="E52" s="65"/>
      <c r="F52" s="65"/>
    </row>
    <row r="53" spans="1:6">
      <c r="A53" s="27">
        <v>50</v>
      </c>
      <c r="B53" s="65"/>
      <c r="C53" s="65"/>
      <c r="D53" s="65"/>
      <c r="E53" s="65"/>
      <c r="F53" s="65"/>
    </row>
  </sheetData>
  <sheetProtection formatCells="0"/>
  <customSheetViews>
    <customSheetView guid="{6D9A68C5-8FD5-4F3E-8B6F-ABAD4F746D70}" scale="75" showRuler="0">
      <selection activeCell="E32" sqref="E32"/>
      <pageSetup paperSize="9" orientation="portrait" horizontalDpi="200" verticalDpi="200"/>
    </customSheetView>
  </customSheetViews>
  <mergeCells count="1">
    <mergeCell ref="A2:F2"/>
  </mergeCells>
  <phoneticPr fontId="2" type="noConversion"/>
  <pageMargins left="0.75" right="0.75" top="1" bottom="1" header="0.5" footer="0.5"/>
  <pageSetup paperSize="9" orientation="portrait" horizontalDpi="200" verticalDpi="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24"/>
    <outlinePr summaryBelow="0"/>
  </sheetPr>
  <dimension ref="A1:C25"/>
  <sheetViews>
    <sheetView showGridLines="0" zoomScale="75" workbookViewId="0">
      <selection activeCell="B23" sqref="B23"/>
    </sheetView>
  </sheetViews>
  <sheetFormatPr baseColWidth="10" defaultColWidth="8.83203125" defaultRowHeight="15" outlineLevelRow="1" x14ac:dyDescent="0"/>
  <cols>
    <col min="1" max="1" width="20.6640625" bestFit="1" customWidth="1"/>
    <col min="2" max="2" width="21.5" customWidth="1"/>
    <col min="3" max="3" width="55" customWidth="1"/>
  </cols>
  <sheetData>
    <row r="1" spans="1:3">
      <c r="A1" s="18" t="s">
        <v>23</v>
      </c>
      <c r="B1" s="19"/>
      <c r="C1" s="20"/>
    </row>
    <row r="3" spans="1:3">
      <c r="A3" s="10" t="s">
        <v>18</v>
      </c>
      <c r="B3" s="10" t="s">
        <v>19</v>
      </c>
      <c r="C3" s="10" t="s">
        <v>20</v>
      </c>
    </row>
    <row r="4" spans="1:3">
      <c r="A4" s="21" t="s">
        <v>21</v>
      </c>
      <c r="B4" s="16" t="s">
        <v>79</v>
      </c>
      <c r="C4" s="22"/>
    </row>
    <row r="5" spans="1:3" outlineLevel="1">
      <c r="A5" s="21" t="s">
        <v>37</v>
      </c>
      <c r="B5" s="16" t="s">
        <v>53</v>
      </c>
      <c r="C5" s="22" t="s">
        <v>141</v>
      </c>
    </row>
    <row r="6" spans="1:3" outlineLevel="1">
      <c r="A6" s="21"/>
      <c r="B6" s="16"/>
      <c r="C6" s="22"/>
    </row>
    <row r="7" spans="1:3" outlineLevel="1">
      <c r="A7" s="21" t="s">
        <v>26</v>
      </c>
      <c r="B7" s="16" t="s">
        <v>54</v>
      </c>
      <c r="C7" s="22" t="s">
        <v>142</v>
      </c>
    </row>
    <row r="8" spans="1:3" outlineLevel="1">
      <c r="A8" s="23" t="s">
        <v>27</v>
      </c>
      <c r="B8" s="24" t="s">
        <v>55</v>
      </c>
      <c r="C8" s="25" t="s">
        <v>142</v>
      </c>
    </row>
    <row r="10" spans="1:3">
      <c r="A10" s="76" t="s">
        <v>139</v>
      </c>
    </row>
    <row r="11" spans="1:3" outlineLevel="1">
      <c r="A11" s="10" t="s">
        <v>18</v>
      </c>
      <c r="B11" s="10" t="s">
        <v>19</v>
      </c>
      <c r="C11" s="10" t="s">
        <v>20</v>
      </c>
    </row>
    <row r="12" spans="1:3" outlineLevel="1">
      <c r="A12" s="32" t="s">
        <v>28</v>
      </c>
      <c r="B12" s="33">
        <v>500</v>
      </c>
      <c r="C12" s="34"/>
    </row>
    <row r="13" spans="1:3" ht="30" outlineLevel="1">
      <c r="A13" s="35" t="s">
        <v>39</v>
      </c>
      <c r="B13" s="36" t="s">
        <v>44</v>
      </c>
      <c r="C13" s="40" t="s">
        <v>148</v>
      </c>
    </row>
    <row r="14" spans="1:3" outlineLevel="1">
      <c r="A14" s="38" t="s">
        <v>41</v>
      </c>
      <c r="B14" s="36" t="s">
        <v>74</v>
      </c>
      <c r="C14" s="37" t="s">
        <v>137</v>
      </c>
    </row>
    <row r="15" spans="1:3" outlineLevel="1">
      <c r="A15" s="38" t="s">
        <v>42</v>
      </c>
      <c r="B15" s="36" t="s">
        <v>73</v>
      </c>
      <c r="C15" s="37" t="s">
        <v>138</v>
      </c>
    </row>
    <row r="16" spans="1:3" ht="60" outlineLevel="1">
      <c r="A16" s="38" t="s">
        <v>43</v>
      </c>
      <c r="B16" s="36" t="s">
        <v>158</v>
      </c>
      <c r="C16" s="40" t="s">
        <v>51</v>
      </c>
    </row>
    <row r="17" spans="1:3" outlineLevel="1">
      <c r="A17" s="38" t="s">
        <v>46</v>
      </c>
      <c r="B17" s="36" t="s">
        <v>72</v>
      </c>
      <c r="C17" s="37" t="s">
        <v>47</v>
      </c>
    </row>
    <row r="18" spans="1:3" outlineLevel="1">
      <c r="A18" s="39"/>
      <c r="B18" s="58"/>
      <c r="C18" s="57"/>
    </row>
    <row r="20" spans="1:3">
      <c r="A20" s="76" t="s">
        <v>140</v>
      </c>
    </row>
    <row r="21" spans="1:3" outlineLevel="1">
      <c r="A21" s="10" t="s">
        <v>18</v>
      </c>
      <c r="B21" s="10" t="s">
        <v>19</v>
      </c>
      <c r="C21" s="10" t="s">
        <v>20</v>
      </c>
    </row>
    <row r="22" spans="1:3" ht="45" outlineLevel="1">
      <c r="A22" s="61" t="s">
        <v>58</v>
      </c>
      <c r="B22" s="60" t="s">
        <v>70</v>
      </c>
      <c r="C22" s="59" t="s">
        <v>63</v>
      </c>
    </row>
    <row r="23" spans="1:3" ht="30" outlineLevel="1">
      <c r="A23" s="38" t="s">
        <v>57</v>
      </c>
      <c r="B23" s="62">
        <v>39083</v>
      </c>
      <c r="C23" s="40" t="s">
        <v>64</v>
      </c>
    </row>
    <row r="24" spans="1:3" ht="45" outlineLevel="1">
      <c r="A24" s="35" t="s">
        <v>59</v>
      </c>
      <c r="B24" s="62" t="s">
        <v>70</v>
      </c>
      <c r="C24" s="40" t="s">
        <v>69</v>
      </c>
    </row>
    <row r="25" spans="1:3" outlineLevel="1">
      <c r="A25" s="35" t="s">
        <v>61</v>
      </c>
      <c r="B25" s="63">
        <v>14</v>
      </c>
      <c r="C25" s="40" t="s">
        <v>60</v>
      </c>
    </row>
  </sheetData>
  <customSheetViews>
    <customSheetView guid="{6D9A68C5-8FD5-4F3E-8B6F-ABAD4F746D70}" scale="75" showRuler="0">
      <selection activeCell="C13" sqref="C13"/>
    </customSheetView>
  </customSheetViews>
  <phoneticPr fontId="2" type="noConversion"/>
  <dataValidations count="5">
    <dataValidation type="whole" operator="greaterThan" allowBlank="1" showInputMessage="1" showErrorMessage="1" errorTitle="工作項目最大數" error="工作項目最大數_x000d_50&lt;設定值&lt;65500_x000d_項數過多整理速度會慢_x000d_建議100~200" sqref="B12">
      <formula1>50</formula1>
    </dataValidation>
    <dataValidation type="list" allowBlank="1" showInputMessage="1" showErrorMessage="1" sqref="B13">
      <formula1>"不重新計算,重新計算"</formula1>
    </dataValidation>
    <dataValidation type="list" allowBlank="1" showInputMessage="1" showErrorMessage="1" sqref="B16">
      <formula1>"有使用MS OUTLOOK(2000 or XP),沒有用MS OUTLOOK"</formula1>
    </dataValidation>
    <dataValidation type="list" allowBlank="1" showInputMessage="1" showErrorMessage="1" sqref="B22 B24">
      <formula1>"Yes,No"</formula1>
    </dataValidation>
    <dataValidation type="whole" allowBlank="1" showInputMessage="1" showErrorMessage="1" error="輸入數字 1~31" prompt="日別檢視時，由當日往回檢視的日數_x000d_例如：週會檢討時，以一週為單位，可以輸入10天_x000d_日別就會以當日減去10天為日別檢視的開始日" sqref="B25">
      <formula1>0</formula1>
      <formula2>31</formula2>
    </dataValidation>
  </dataValidations>
  <pageMargins left="0.75" right="0.75" top="1" bottom="1" header="0.5" footer="0.5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Readme</vt:lpstr>
      <vt:lpstr>Program</vt:lpstr>
      <vt:lpstr>Alert</vt:lpstr>
      <vt:lpstr>Contact</vt:lpstr>
      <vt:lpstr>Config</vt:lpstr>
    </vt:vector>
  </TitlesOfParts>
  <Company/>
  <LinksUpToDate>false</LinksUpToDate>
  <SharedDoc>false</SharedDoc>
  <HyperlinksChanged>false</HyperlinksChanged>
  <AppVersion>14.0300</AppVersion>
  <DigSig>
    <vt:blob>mAcAAAgAAADwAwAALAAAAH0DAAAcBAAAAAAAAJkHAAAAAAAAAAAAAJsHAAAwggPsBgkqhkiG9w0B
BwKgggPdMIID2QIBATEOMAwGCCqGSIb3DQIFBQAwUgYKKwYBBAGCNwIBBKBEMEIwHgYKKwYBBAGC
NwIBHQQQdqWd/P5dNpyWbIDSWIxSOzAgMAwGCCqGSIb3DQIFBQAEELxQWemobgYk7whwX+/JJ1+g
ggIhMIICHTCCAYagAwIBAgIQjMofauF74YBKVtt3WZtYgDANBgkqhkiG9w0BAQQFADAaMRgwFgYD
VQQDEw9DSEVOIEt1YW4gSHN1ZWgwHhcNMDUxMjMxMTYwMDAwWhcNMTExMjMxMTYwMDAwWjAaMRgw
FgYDVQQDEw9DSEVOIEt1YW4gSHN1ZWgwgZ8wDQYJKoZIhvcNAQEBBQADgY0AMIGJAoGBAKkJZECS
BGWKg1BgRbfvHqBjsCOZbjUzgqrXwEXKMupdSd1pD9mxPj1MfuGYPvIE0OjAX+6xsGxbqI5nGBvl
ZmlpmHyy9wDMXZhLOon9D/KO1EXdDrV8MoeYOxHuXZ39tLv4WG/hA5etSmXjTly5fQ/ilwyqCLVq
ehy0FTPYggWtAgMBAAGjZDBiMBMGA1UdJQQMMAoGCCsGAQUFBwMDMEsGA1UdAQREMEKAEBL/Inmm
xBas6sKg8Sn1kPyhHDAaMRgwFgYDVQQDEw9DSEVOIEt1YW4gSHN1ZWiCEIzKH2rhe+GASlbbd1mb
WIAwDQYJKoZIhvcNAQEEBQADgYEAgG3APUcwc0SwJWq3jzOhw3+nBZnMHKn4RcfKjNiZbfNs9vbj
iEHuC6226BkMoE8vEuBry9/w5mwLVOK9iAOXbXPBkyXHRNQzo9OJmW44n9ViYFI+BUU+Mg+DTnWk
WDxzIL493WenXRf77tZvVjXmzSSH5HQbeOH0cGeDikp7vZ8xggFJMIIBRQIBATAuMBoxGDAWBgNV
BAMTD0NIRU4gS3VhbiBIc3VlaAIQjMofauF74YBKVtt3WZtYgDAMBggqhkiG9w0CBQUAoHAwFAYK
KwYBBAGCNwIBDDEGMASgAoAAMBkGCSqGSIb3DQEJAzEMBgorBgEEAYI3AgEEMBwGCisGAQQBgjcC
AQsxDjAMBgorBgEEAYI3AgEVMB8GCSqGSIb3DQEJBDESBBDF3mZd19uL9E1GA4wKe+zLMA0GCSqG
SIb3DQEBAQUABIGApUaXrT2zLqSlLRUfsSZs1uaTID5aTZF45vY9+wxsoQYAp1ZxUUssOq3ifqec
vgkHJofj6JJcsphBaZ3DZZ8Y1p0qZp2DcvzkMmogxHckAroAihi5YuNx0prP4Q4B8B3i/iUNcXta
sFtUbYI8V50l61t8C234nafaMghzx8ljlhoAAAAAQ0VSVA8AAAABAAAAEAAAAHffwD15er56BtU6
h+6p1Y8ZAAAAAQAAABAAAADb1vh8n2jnGxTSqleml/OTAwAAAAEAAAAUAAAA9mMZEVx8yj2cZ+qB
l0Eoyh6byYkCAAAAAQAAAJwAAAAcAAAAPAAAAAEAAAAAAAAAAAAAAAAAAAACAAAAUwBlAGwAZgBT
AGkAZwBuAGUAZABDAGUAcgB0AHMAAABNAGkAYwByAG8AcwBvAGYAdAAgAEUAbgBoAGEAbgBjAGUA
ZAAgAEMAcgB5AHAAdABvAGcAcgBhAHAAaABpAGMAIABQAHIAbwB2AGkAZABlAHIAIAB2ADEALgAw
AAAAAAAUAAAAAQAAABQAAAByQp4a5unSfmUXmHoAmC6lidPmjgQAAAABAAAAEAAAAAVUKFfePAkJ
S/7w92Ipof4gAAAAAQAAACECAAAwggIdMIIBhqADAgECAhCMyh9q4XvhgEpW23dZm1iAMA0GCSqG
SIb3DQEBBAUAMBoxGDAWBgNVBAMTD0NIRU4gS3VhbiBIc3VlaDAeFw0wNTEyMzExNjAwMDBaFw0x
MTEyMzExNjAwMDBaMBoxGDAWBgNVBAMTD0NIRU4gS3VhbiBIc3VlaDCBnzANBgkqhkiG9w0BAQEF
AAOBjQAwgYkCgYEAqQlkQJIEZYqDUGBFt+8eoGOwI5luNTOCqtfARcoy6l1J3WkP2bE+PUx+4Zg+
8gTQ6MBf7rGwbFuojmcYG+VmaWmYfLL3AMxdmEs6if0P8o7URd0OtXwyh5g7Ee5dnf20u/hYb+ED
l61KZeNOXLl9D+KXDKoItWp6HLQVM9iCBa0CAwEAAaNkMGIwEwYDVR0lBAwwCgYIKwYBBQUHAwMw
SwYDVR0BBEQwQoAQEv8ieabEFqzqwqDxKfWQ/KEcMBoxGDAWBgNVBAMTD0NIRU4gS3VhbiBIc3Vl
aIIQjMofauF74YBKVtt3WZtYgDANBgkqhkiG9w0BAQQFAAOBgQCAbcA9RzBzRLAlarePM6HDf6cF
mcwcqfhFx8qM2Jlt82z29uOIQe4LrbboGQygTy8S4GvL3/DmbAtU4r2IA5dtc8GTJcdE1DOj04mZ
bjif1WJgUj4FRT4yD4NOdaRYPHMgvj3dZ6ddF/vu1m9WNebNJIfkdBt44fRwZ4OKSnu9nwAAAAAA
AAAAAAAAAAAAAAAApAc=</vt:blob>
  </DigSig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陳寬學</dc:creator>
  <cp:lastModifiedBy>kevin chen chen</cp:lastModifiedBy>
  <cp:lastPrinted>2007-01-31T17:02:21Z</cp:lastPrinted>
  <dcterms:created xsi:type="dcterms:W3CDTF">2004-10-31T16:56:18Z</dcterms:created>
  <dcterms:modified xsi:type="dcterms:W3CDTF">2014-04-28T16:55:14Z</dcterms:modified>
</cp:coreProperties>
</file>